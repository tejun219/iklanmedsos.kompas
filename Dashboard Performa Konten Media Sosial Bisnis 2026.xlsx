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i" sheetId="1" r:id="rId5"/>
    <sheet state="visible" name="Agustus" sheetId="2" r:id="rId6"/>
  </sheets>
  <definedNames/>
  <calcPr/>
</workbook>
</file>

<file path=xl/sharedStrings.xml><?xml version="1.0" encoding="utf-8"?>
<sst xmlns="http://schemas.openxmlformats.org/spreadsheetml/2006/main" count="445" uniqueCount="136">
  <si>
    <t>No</t>
  </si>
  <si>
    <t>Client</t>
  </si>
  <si>
    <t>Memo</t>
  </si>
  <si>
    <t>Jenis Kerjasama</t>
  </si>
  <si>
    <t>Tanggal Post</t>
  </si>
  <si>
    <t>Content Type</t>
  </si>
  <si>
    <t>Format</t>
  </si>
  <si>
    <t>Platform</t>
  </si>
  <si>
    <t>Akun</t>
  </si>
  <si>
    <t>Status</t>
  </si>
  <si>
    <t>Link Tayang</t>
  </si>
  <si>
    <t>Target KPI (Reach)</t>
  </si>
  <si>
    <t>Impression</t>
  </si>
  <si>
    <t>Reach</t>
  </si>
  <si>
    <t>Engagement</t>
  </si>
  <si>
    <t>Engagement Rate</t>
  </si>
  <si>
    <t>Revenue</t>
  </si>
  <si>
    <t>Nilai Barter</t>
  </si>
  <si>
    <t>Buffalo</t>
  </si>
  <si>
    <t>Memo No.032/MO/BARTER/VII/2026</t>
  </si>
  <si>
    <t>Barter</t>
  </si>
  <si>
    <t>ADV</t>
  </si>
  <si>
    <t>Feed</t>
  </si>
  <si>
    <t>Instagram</t>
  </si>
  <si>
    <t>kompasurbana</t>
  </si>
  <si>
    <t>Tayang</t>
  </si>
  <si>
    <t>https://www.instagram.com/p/DauJ5fCBptQ/</t>
  </si>
  <si>
    <t>-</t>
  </si>
  <si>
    <t>3,69%</t>
  </si>
  <si>
    <t>Samsung</t>
  </si>
  <si>
    <t>432/MO/PRODUK/VII/202</t>
  </si>
  <si>
    <t>Berbayar</t>
  </si>
  <si>
    <t>Reels</t>
  </si>
  <si>
    <t>hariankompas</t>
  </si>
  <si>
    <t>https://www.instagram.com/p/DautL0WE9gC/</t>
  </si>
  <si>
    <t>2,16%</t>
  </si>
  <si>
    <t>Pearson</t>
  </si>
  <si>
    <t>Memo No.400/MO/PRODUK/VII/2026</t>
  </si>
  <si>
    <t>Story</t>
  </si>
  <si>
    <t>https://www.instagram.com/stories/hariankompas/3940283538834947618</t>
  </si>
  <si>
    <t>LG</t>
  </si>
  <si>
    <t>409/MO/PRODUK/VII/2026</t>
  </si>
  <si>
    <t>https://www.instagram.com/p/DaxA0WAyhL3/</t>
  </si>
  <si>
    <t>https://www.instagram.com/p/DaxfrLuyBe3/</t>
  </si>
  <si>
    <t>3,01%</t>
  </si>
  <si>
    <t>UMN</t>
  </si>
  <si>
    <t>522/MO/PRODUK/VIII/2025</t>
  </si>
  <si>
    <t>https://www.instagram.com/p/Daz-QqsE1m1/?img_index=1</t>
  </si>
  <si>
    <t>1,69%</t>
  </si>
  <si>
    <t>Aruna</t>
  </si>
  <si>
    <t>https://www.instagram.com/p/Da2G6cpk-3o/?img_index=1</t>
  </si>
  <si>
    <t>1,45%</t>
  </si>
  <si>
    <t>Tangerang10K</t>
  </si>
  <si>
    <t>508/Event/VII/2026</t>
  </si>
  <si>
    <t>https://www.instagram.com/p/Da2N1APk485/?igsh=emo0OTV5d2lmYnZr</t>
  </si>
  <si>
    <t>kompasmuda</t>
  </si>
  <si>
    <t>Total</t>
  </si>
  <si>
    <t>https://www.instagram.com/p/Da7Qh6SEyAy/?img_index=1</t>
  </si>
  <si>
    <t>2,71%</t>
  </si>
  <si>
    <t>BSI</t>
  </si>
  <si>
    <t>Post</t>
  </si>
  <si>
    <t>https://www.instagram.com/p/DanQpdbE3mw/</t>
  </si>
  <si>
    <t>2,28%</t>
  </si>
  <si>
    <t>Prambanan Jazz</t>
  </si>
  <si>
    <t>Media Partner</t>
  </si>
  <si>
    <t>Info</t>
  </si>
  <si>
    <t>https://www.instagram.com/p/DapN6JzEy-Z/</t>
  </si>
  <si>
    <t>1,47%</t>
  </si>
  <si>
    <t>Starbucks</t>
  </si>
  <si>
    <t>16/7/2026</t>
  </si>
  <si>
    <t>Koko</t>
  </si>
  <si>
    <t>https://www.instagram.com/p/Da2Dz5RFD1v/</t>
  </si>
  <si>
    <t>1,65%</t>
  </si>
  <si>
    <t>Westin</t>
  </si>
  <si>
    <t>https://www.instagram.com/p/Dar61B_AVOr/</t>
  </si>
  <si>
    <t>0,74%</t>
  </si>
  <si>
    <t>Hydroplus</t>
  </si>
  <si>
    <t>15/7/2026</t>
  </si>
  <si>
    <t>https://www.instagram.com/p/Dazp9QllPqG/</t>
  </si>
  <si>
    <t>0,93%</t>
  </si>
  <si>
    <t>https://www.instagram.com/p/Da2bepfE26t/</t>
  </si>
  <si>
    <t>1,05%</t>
  </si>
  <si>
    <t>Arka Group</t>
  </si>
  <si>
    <t>https://www.instagram.com/p/Dari3buThO7/</t>
  </si>
  <si>
    <t>0,35%</t>
  </si>
  <si>
    <t>Rafles Bali</t>
  </si>
  <si>
    <t>https://www.instagram.com/p/Damf3XDAVvz/</t>
  </si>
  <si>
    <t>Bvlgari Bali</t>
  </si>
  <si>
    <t>https://www.instagram.com/p/Dapq4gsgVjs/</t>
  </si>
  <si>
    <t>3,75%</t>
  </si>
  <si>
    <t>402 Rumah Sakit Angker Korea</t>
  </si>
  <si>
    <t>X</t>
  </si>
  <si>
    <t>https://twitter.com/hariankompas/status/2077656982132081013</t>
  </si>
  <si>
    <t>0,59%</t>
  </si>
  <si>
    <t>14/7/2026</t>
  </si>
  <si>
    <t>Facebook</t>
  </si>
  <si>
    <t>https://www.facebook.com/reel/1004472645685130/</t>
  </si>
  <si>
    <t>0,37%</t>
  </si>
  <si>
    <t>https://www.instagram.com/stories/hariankompas/3941713377592427722</t>
  </si>
  <si>
    <t>0,11%</t>
  </si>
  <si>
    <t>https://twitter.com/hariankompas/status/2076942272974012478</t>
  </si>
  <si>
    <t>0,14%</t>
  </si>
  <si>
    <t xml:space="preserve">Breitling </t>
  </si>
  <si>
    <t>https://twitter.com/kompas_urbana/status/2076258136005267965</t>
  </si>
  <si>
    <t>0,83%</t>
  </si>
  <si>
    <t xml:space="preserve">PILLAR </t>
  </si>
  <si>
    <t>https://www.instagram.com/stories/hariankompas/3939524869196983928</t>
  </si>
  <si>
    <t>0,10%</t>
  </si>
  <si>
    <t xml:space="preserve">Cartier </t>
  </si>
  <si>
    <t>https://twitter.com/kompas_urbana/status/2075903087617945740</t>
  </si>
  <si>
    <t>0,88%</t>
  </si>
  <si>
    <t xml:space="preserve">Banyan Group </t>
  </si>
  <si>
    <t>https://www.instagram.com/stories/hariankompas/3938834156163544132</t>
  </si>
  <si>
    <t>0,13%</t>
  </si>
  <si>
    <t>https://twitter.com/hariankompas/status/2075752542282359284</t>
  </si>
  <si>
    <t>0,21%</t>
  </si>
  <si>
    <t>https://www.instagram.com/stories/hariankompas/3942415128415121121</t>
  </si>
  <si>
    <t>https://twitter.com/hariankompas/status/2077620409797878027</t>
  </si>
  <si>
    <t>https://www.instagram.com/stories/hariankompas/3941711918159225693</t>
  </si>
  <si>
    <t>https://twitter.com/hariankompas/status/2077303546748506532</t>
  </si>
  <si>
    <t>https://twitter.com/hariankompas/status/2077303378653376731</t>
  </si>
  <si>
    <t xml:space="preserve">14/7/2026 </t>
  </si>
  <si>
    <t>https://www.facebook.com/626937219468136/posts/1469409231887593</t>
  </si>
  <si>
    <t>https://www.facebook.com/732099495582932/posts/1615824763877063</t>
  </si>
  <si>
    <t>https://twitter.com/hariankompas/status/2076154585908228452</t>
  </si>
  <si>
    <t>https://www.facebook.com/732099495582932/posts/1614992877293585</t>
  </si>
  <si>
    <t xml:space="preserve"> The Sounds Project</t>
  </si>
  <si>
    <t>https://www.facebook.com/626937219468136/posts/1466779262150590</t>
  </si>
  <si>
    <t>Banyan Group</t>
  </si>
  <si>
    <t>https://www.facebook.com/626937219468136/posts/1466481832180333</t>
  </si>
  <si>
    <t>KG Radio</t>
  </si>
  <si>
    <t>https://www.facebook.com/626937219468136/posts/1465908498904333</t>
  </si>
  <si>
    <t>DBL</t>
  </si>
  <si>
    <t>23/07/2026</t>
  </si>
  <si>
    <t>https://www.instagram.com/p/DbGI2DBk-I3/?utm_source=ig_web_copy_link&amp;igsh=MzRlODBiNWFlZA==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</si>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</sst>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-yy"/>
    <numFmt numFmtId="165" formatCode="[$Rp-421]#,##0"/>
    <numFmt numFmtId="166" formatCode="dd/MM/yyyy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8.0"/>
      <color rgb="FF475569"/>
      <name val="&quot;Plus Jakarta Sans&quot;"/>
    </font>
    <font>
      <u/>
      <color rgb="FF0000FF"/>
    </font>
    <font>
      <u/>
      <color rgb="FF0000FF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2" fontId="2" numFmtId="0" xfId="0" applyFont="1"/>
    <xf borderId="0" fillId="3" fontId="3" numFmtId="0" xfId="0" applyAlignment="1" applyFill="1" applyFont="1">
      <alignment readingOrder="0"/>
    </xf>
    <xf borderId="1" fillId="3" fontId="3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165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1" fillId="0" fontId="2" numFmtId="165" xfId="0" applyAlignment="1" applyBorder="1" applyFont="1" applyNumberFormat="1">
      <alignment horizontal="right" readingOrder="0"/>
    </xf>
    <xf borderId="1" fillId="0" fontId="5" numFmtId="0" xfId="0" applyAlignment="1" applyBorder="1" applyFont="1">
      <alignment horizontal="center" readingOrder="0"/>
    </xf>
    <xf borderId="1" fillId="0" fontId="2" numFmtId="165" xfId="0" applyAlignment="1" applyBorder="1" applyFont="1" applyNumberFormat="1">
      <alignment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9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 readingOrder="0"/>
    </xf>
    <xf borderId="1" fillId="0" fontId="2" numFmtId="166" xfId="0" applyAlignment="1" applyBorder="1" applyFont="1" applyNumberFormat="1">
      <alignment horizontal="center" readingOrder="0"/>
    </xf>
    <xf borderId="0" fillId="0" fontId="6" numFmtId="0" xfId="0" applyAlignment="1" applyFont="1">
      <alignment horizontal="center"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center" vertical="bottom"/>
    </xf>
    <xf borderId="1" fillId="0" fontId="2" numFmtId="9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horizontal="center" readingOrder="0" vertical="bottom"/>
    </xf>
    <xf borderId="1" fillId="0" fontId="2" numFmtId="3" xfId="0" applyAlignment="1" applyBorder="1" applyFont="1" applyNumberFormat="1">
      <alignment horizontal="center" readingOrder="0"/>
    </xf>
    <xf borderId="1" fillId="0" fontId="2" numFmtId="10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626937219468136/posts/1466481832180333" TargetMode="External"/><Relationship Id="rId20" Type="http://schemas.openxmlformats.org/officeDocument/2006/relationships/hyperlink" Target="https://www.instagram.com/p/Dapq4gsgVjs/" TargetMode="External"/><Relationship Id="rId42" Type="http://schemas.openxmlformats.org/officeDocument/2006/relationships/hyperlink" Target="https://www.instagram.com/p/DbGI2DBk-I3/?utm_source=ig_web_copy_link&amp;igsh=MzRlODBiNWFlZA==" TargetMode="External"/><Relationship Id="rId41" Type="http://schemas.openxmlformats.org/officeDocument/2006/relationships/hyperlink" Target="https://www.facebook.com/626937219468136/posts/1465908498904333" TargetMode="External"/><Relationship Id="rId22" Type="http://schemas.openxmlformats.org/officeDocument/2006/relationships/hyperlink" Target="https://www.facebook.com/reel/1004472645685130/" TargetMode="External"/><Relationship Id="rId21" Type="http://schemas.openxmlformats.org/officeDocument/2006/relationships/hyperlink" Target="https://twitter.com/hariankompas/status/2077656982132081013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twitter.com/hariankompas/status/2076942272974012478" TargetMode="External"/><Relationship Id="rId23" Type="http://schemas.openxmlformats.org/officeDocument/2006/relationships/hyperlink" Target="https://www.instagram.com/stories/hariankompas/3941713377592427722" TargetMode="External"/><Relationship Id="rId1" Type="http://schemas.openxmlformats.org/officeDocument/2006/relationships/hyperlink" Target="https://www.instagram.com/p/DauJ5fCBptQ/" TargetMode="External"/><Relationship Id="rId2" Type="http://schemas.openxmlformats.org/officeDocument/2006/relationships/hyperlink" Target="https://www.instagram.com/p/DautL0WE9gC/" TargetMode="External"/><Relationship Id="rId3" Type="http://schemas.openxmlformats.org/officeDocument/2006/relationships/hyperlink" Target="https://www.instagram.com/stories/hariankompas/3940283538834947618" TargetMode="External"/><Relationship Id="rId4" Type="http://schemas.openxmlformats.org/officeDocument/2006/relationships/hyperlink" Target="https://www.instagram.com/p/DaxA0WAyhL3/" TargetMode="External"/><Relationship Id="rId9" Type="http://schemas.openxmlformats.org/officeDocument/2006/relationships/hyperlink" Target="https://www.instagram.com/p/Da2N1APk485/?igsh=emo0OTV5d2lmYnZr" TargetMode="External"/><Relationship Id="rId26" Type="http://schemas.openxmlformats.org/officeDocument/2006/relationships/hyperlink" Target="https://www.instagram.com/stories/hariankompas/3939524869196983928" TargetMode="External"/><Relationship Id="rId25" Type="http://schemas.openxmlformats.org/officeDocument/2006/relationships/hyperlink" Target="https://twitter.com/kompas_urbana/status/2076258136005267965" TargetMode="External"/><Relationship Id="rId28" Type="http://schemas.openxmlformats.org/officeDocument/2006/relationships/hyperlink" Target="https://www.instagram.com/stories/hariankompas/3938834156163544132" TargetMode="External"/><Relationship Id="rId27" Type="http://schemas.openxmlformats.org/officeDocument/2006/relationships/hyperlink" Target="https://twitter.com/kompas_urbana/status/2075903087617945740" TargetMode="External"/><Relationship Id="rId5" Type="http://schemas.openxmlformats.org/officeDocument/2006/relationships/hyperlink" Target="https://www.instagram.com/p/DaxfrLuyBe3/" TargetMode="External"/><Relationship Id="rId6" Type="http://schemas.openxmlformats.org/officeDocument/2006/relationships/hyperlink" Target="https://www.instagram.com/p/Daz-QqsE1m1/?img_index=1" TargetMode="External"/><Relationship Id="rId29" Type="http://schemas.openxmlformats.org/officeDocument/2006/relationships/hyperlink" Target="https://twitter.com/hariankompas/status/2075752542282359284" TargetMode="External"/><Relationship Id="rId7" Type="http://schemas.openxmlformats.org/officeDocument/2006/relationships/hyperlink" Target="https://www.instagram.com/p/Da2G6cpk-3o/?img_index=1" TargetMode="External"/><Relationship Id="rId8" Type="http://schemas.openxmlformats.org/officeDocument/2006/relationships/hyperlink" Target="https://www.instagram.com/p/Da2N1APk485/?igsh=emo0OTV5d2lmYnZr" TargetMode="External"/><Relationship Id="rId31" Type="http://schemas.openxmlformats.org/officeDocument/2006/relationships/hyperlink" Target="https://twitter.com/hariankompas/status/2077620409797878027" TargetMode="External"/><Relationship Id="rId30" Type="http://schemas.openxmlformats.org/officeDocument/2006/relationships/hyperlink" Target="https://www.instagram.com/stories/hariankompas/3942415128415121121" TargetMode="External"/><Relationship Id="rId11" Type="http://schemas.openxmlformats.org/officeDocument/2006/relationships/hyperlink" Target="https://www.instagram.com/p/Da7Qh6SEyAy/?img_index=1" TargetMode="External"/><Relationship Id="rId33" Type="http://schemas.openxmlformats.org/officeDocument/2006/relationships/hyperlink" Target="https://twitter.com/hariankompas/status/2077303546748506532" TargetMode="External"/><Relationship Id="rId10" Type="http://schemas.openxmlformats.org/officeDocument/2006/relationships/hyperlink" Target="https://www.instagram.com/p/DauJ5fCBptQ/" TargetMode="External"/><Relationship Id="rId32" Type="http://schemas.openxmlformats.org/officeDocument/2006/relationships/hyperlink" Target="https://www.instagram.com/stories/hariankompas/3941711918159225693" TargetMode="External"/><Relationship Id="rId13" Type="http://schemas.openxmlformats.org/officeDocument/2006/relationships/hyperlink" Target="https://www.instagram.com/p/DapN6JzEy-Z/" TargetMode="External"/><Relationship Id="rId35" Type="http://schemas.openxmlformats.org/officeDocument/2006/relationships/hyperlink" Target="https://www.facebook.com/626937219468136/posts/1469409231887593" TargetMode="External"/><Relationship Id="rId12" Type="http://schemas.openxmlformats.org/officeDocument/2006/relationships/hyperlink" Target="https://www.instagram.com/p/DanQpdbE3mw/" TargetMode="External"/><Relationship Id="rId34" Type="http://schemas.openxmlformats.org/officeDocument/2006/relationships/hyperlink" Target="https://twitter.com/hariankompas/status/2077303378653376731" TargetMode="External"/><Relationship Id="rId15" Type="http://schemas.openxmlformats.org/officeDocument/2006/relationships/hyperlink" Target="https://www.instagram.com/p/Dar61B_AVOr/" TargetMode="External"/><Relationship Id="rId37" Type="http://schemas.openxmlformats.org/officeDocument/2006/relationships/hyperlink" Target="https://twitter.com/hariankompas/status/2076154585908228452" TargetMode="External"/><Relationship Id="rId14" Type="http://schemas.openxmlformats.org/officeDocument/2006/relationships/hyperlink" Target="https://www.instagram.com/p/Da2Dz5RFD1v/" TargetMode="External"/><Relationship Id="rId36" Type="http://schemas.openxmlformats.org/officeDocument/2006/relationships/hyperlink" Target="https://www.facebook.com/732099495582932/posts/1615824763877063" TargetMode="External"/><Relationship Id="rId17" Type="http://schemas.openxmlformats.org/officeDocument/2006/relationships/hyperlink" Target="https://www.instagram.com/p/Da2bepfE26t/" TargetMode="External"/><Relationship Id="rId39" Type="http://schemas.openxmlformats.org/officeDocument/2006/relationships/hyperlink" Target="https://www.facebook.com/626937219468136/posts/1466779262150590" TargetMode="External"/><Relationship Id="rId16" Type="http://schemas.openxmlformats.org/officeDocument/2006/relationships/hyperlink" Target="https://www.instagram.com/p/Dazp9QllPqG/" TargetMode="External"/><Relationship Id="rId38" Type="http://schemas.openxmlformats.org/officeDocument/2006/relationships/hyperlink" Target="https://www.facebook.com/732099495582932/posts/1614992877293585" TargetMode="External"/><Relationship Id="rId19" Type="http://schemas.openxmlformats.org/officeDocument/2006/relationships/hyperlink" Target="https://www.instagram.com/p/Damf3XDAVvz/" TargetMode="External"/><Relationship Id="rId18" Type="http://schemas.openxmlformats.org/officeDocument/2006/relationships/hyperlink" Target="https://www.instagram.com/p/Dari3buThO7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24.38"/>
    <col customWidth="1" min="3" max="3" width="25.38"/>
    <col customWidth="1" min="4" max="4" width="16.88"/>
    <col customWidth="1" min="6" max="6" width="17.88"/>
    <col customWidth="1" min="7" max="7" width="17.63"/>
    <col customWidth="1" min="8" max="8" width="13.25"/>
    <col customWidth="1" min="9" max="9" width="17.38"/>
    <col customWidth="1" min="10" max="10" width="23.75"/>
    <col customWidth="1" min="11" max="11" width="55.0"/>
    <col customWidth="1" min="12" max="12" width="15.75"/>
    <col customWidth="1" min="16" max="16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/>
      <c r="T1" s="3"/>
      <c r="U1" s="3"/>
      <c r="V1" s="3"/>
      <c r="W1" s="3"/>
      <c r="X1" s="3"/>
    </row>
    <row r="2">
      <c r="A2" s="2">
        <v>1.0</v>
      </c>
      <c r="B2" s="2" t="s">
        <v>18</v>
      </c>
      <c r="C2" s="5" t="s">
        <v>19</v>
      </c>
      <c r="D2" s="2" t="s">
        <v>20</v>
      </c>
      <c r="E2" s="6">
        <v>46216.0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10" t="s">
        <v>26</v>
      </c>
      <c r="L2" s="2" t="s">
        <v>27</v>
      </c>
      <c r="M2" s="2">
        <v>244.0</v>
      </c>
      <c r="N2" s="11">
        <v>121.0</v>
      </c>
      <c r="O2" s="2">
        <v>9.0</v>
      </c>
      <c r="P2" s="2" t="s">
        <v>28</v>
      </c>
      <c r="Q2" s="12"/>
      <c r="R2" s="13">
        <v>540541.0</v>
      </c>
    </row>
    <row r="3">
      <c r="A3" s="2">
        <f t="shared" ref="A3:A38" si="1">1+A2</f>
        <v>2</v>
      </c>
      <c r="B3" s="2" t="s">
        <v>29</v>
      </c>
      <c r="C3" s="2" t="s">
        <v>30</v>
      </c>
      <c r="D3" s="2" t="s">
        <v>31</v>
      </c>
      <c r="E3" s="6">
        <v>46216.0</v>
      </c>
      <c r="F3" s="2" t="s">
        <v>21</v>
      </c>
      <c r="G3" s="2" t="s">
        <v>32</v>
      </c>
      <c r="H3" s="2" t="s">
        <v>23</v>
      </c>
      <c r="I3" s="2" t="s">
        <v>33</v>
      </c>
      <c r="J3" s="2" t="s">
        <v>25</v>
      </c>
      <c r="K3" s="14" t="s">
        <v>34</v>
      </c>
      <c r="L3" s="2" t="s">
        <v>27</v>
      </c>
      <c r="M3" s="2">
        <v>4.821</v>
      </c>
      <c r="N3" s="2">
        <v>1.912</v>
      </c>
      <c r="O3" s="2">
        <v>104.0</v>
      </c>
      <c r="P3" s="2" t="s">
        <v>35</v>
      </c>
      <c r="Q3" s="15">
        <v>1.592E7</v>
      </c>
      <c r="R3" s="15"/>
    </row>
    <row r="4">
      <c r="A4" s="2">
        <f t="shared" si="1"/>
        <v>3</v>
      </c>
      <c r="B4" s="2" t="s">
        <v>36</v>
      </c>
      <c r="C4" s="5" t="s">
        <v>37</v>
      </c>
      <c r="D4" s="2" t="s">
        <v>31</v>
      </c>
      <c r="E4" s="6">
        <v>46216.0</v>
      </c>
      <c r="F4" s="2" t="s">
        <v>21</v>
      </c>
      <c r="G4" s="2" t="s">
        <v>38</v>
      </c>
      <c r="H4" s="2" t="s">
        <v>23</v>
      </c>
      <c r="I4" s="2" t="s">
        <v>33</v>
      </c>
      <c r="J4" s="2" t="s">
        <v>25</v>
      </c>
      <c r="K4" s="14" t="s">
        <v>39</v>
      </c>
      <c r="L4" s="2" t="s">
        <v>27</v>
      </c>
      <c r="M4" s="17">
        <v>676.0</v>
      </c>
      <c r="N4" s="17">
        <v>639.0</v>
      </c>
      <c r="O4" s="17">
        <v>0.0</v>
      </c>
      <c r="P4" s="18">
        <v>0.0</v>
      </c>
      <c r="Q4" s="15">
        <v>4504505.0</v>
      </c>
      <c r="R4" s="15"/>
    </row>
    <row r="5">
      <c r="A5" s="2">
        <f t="shared" si="1"/>
        <v>4</v>
      </c>
      <c r="B5" s="2" t="s">
        <v>40</v>
      </c>
      <c r="C5" s="2" t="s">
        <v>41</v>
      </c>
      <c r="D5" s="2" t="s">
        <v>31</v>
      </c>
      <c r="E5" s="6">
        <v>46217.0</v>
      </c>
      <c r="F5" s="2" t="s">
        <v>21</v>
      </c>
      <c r="G5" s="2" t="s">
        <v>32</v>
      </c>
      <c r="H5" s="2" t="s">
        <v>23</v>
      </c>
      <c r="I5" s="2" t="s">
        <v>24</v>
      </c>
      <c r="J5" s="2" t="s">
        <v>25</v>
      </c>
      <c r="K5" s="14" t="s">
        <v>42</v>
      </c>
      <c r="L5" s="2" t="s">
        <v>27</v>
      </c>
      <c r="M5" s="2"/>
      <c r="N5" s="2"/>
      <c r="O5" s="2"/>
      <c r="P5" s="8"/>
      <c r="Q5" s="15">
        <v>1260000.0</v>
      </c>
      <c r="R5" s="15"/>
    </row>
    <row r="6">
      <c r="A6" s="2">
        <f t="shared" si="1"/>
        <v>5</v>
      </c>
      <c r="B6" s="2" t="s">
        <v>29</v>
      </c>
      <c r="C6" s="2" t="s">
        <v>30</v>
      </c>
      <c r="D6" s="2" t="s">
        <v>31</v>
      </c>
      <c r="E6" s="6">
        <v>46217.0</v>
      </c>
      <c r="F6" s="2" t="s">
        <v>21</v>
      </c>
      <c r="G6" s="2" t="s">
        <v>32</v>
      </c>
      <c r="H6" s="2" t="s">
        <v>23</v>
      </c>
      <c r="I6" s="2" t="s">
        <v>33</v>
      </c>
      <c r="J6" s="2" t="s">
        <v>25</v>
      </c>
      <c r="K6" s="14" t="s">
        <v>43</v>
      </c>
      <c r="L6" s="2" t="s">
        <v>27</v>
      </c>
      <c r="M6" s="2">
        <v>2.455</v>
      </c>
      <c r="N6" s="2">
        <v>1.292</v>
      </c>
      <c r="O6" s="2">
        <v>74.0</v>
      </c>
      <c r="P6" s="2" t="s">
        <v>44</v>
      </c>
      <c r="Q6" s="15"/>
      <c r="R6" s="15"/>
    </row>
    <row r="7">
      <c r="A7" s="2">
        <f t="shared" si="1"/>
        <v>6</v>
      </c>
      <c r="B7" s="2" t="s">
        <v>45</v>
      </c>
      <c r="C7" s="2" t="s">
        <v>46</v>
      </c>
      <c r="D7" s="2" t="s">
        <v>31</v>
      </c>
      <c r="E7" s="6">
        <v>46218.0</v>
      </c>
      <c r="F7" s="2" t="s">
        <v>21</v>
      </c>
      <c r="G7" s="2" t="s">
        <v>22</v>
      </c>
      <c r="H7" s="2" t="s">
        <v>23</v>
      </c>
      <c r="I7" s="2" t="s">
        <v>33</v>
      </c>
      <c r="J7" s="2" t="s">
        <v>25</v>
      </c>
      <c r="K7" s="14" t="s">
        <v>47</v>
      </c>
      <c r="L7" s="2" t="s">
        <v>27</v>
      </c>
      <c r="M7" s="2">
        <v>5.268</v>
      </c>
      <c r="N7" s="2">
        <v>3.386</v>
      </c>
      <c r="O7" s="2">
        <v>89.0</v>
      </c>
      <c r="P7" s="2" t="s">
        <v>48</v>
      </c>
      <c r="Q7" s="13">
        <v>7000000.0</v>
      </c>
      <c r="R7" s="13"/>
    </row>
    <row r="8">
      <c r="A8" s="2">
        <f t="shared" si="1"/>
        <v>7</v>
      </c>
      <c r="B8" s="2" t="s">
        <v>49</v>
      </c>
      <c r="C8" s="2"/>
      <c r="D8" s="2" t="s">
        <v>31</v>
      </c>
      <c r="E8" s="6">
        <v>46219.0</v>
      </c>
      <c r="F8" s="2" t="s">
        <v>21</v>
      </c>
      <c r="G8" s="2" t="s">
        <v>22</v>
      </c>
      <c r="H8" s="2" t="s">
        <v>23</v>
      </c>
      <c r="I8" s="2" t="s">
        <v>33</v>
      </c>
      <c r="J8" s="2" t="s">
        <v>25</v>
      </c>
      <c r="K8" s="14" t="s">
        <v>50</v>
      </c>
      <c r="L8" s="2"/>
      <c r="M8" s="2">
        <v>6.688</v>
      </c>
      <c r="N8" s="2">
        <v>3.732</v>
      </c>
      <c r="O8" s="2">
        <v>97.0</v>
      </c>
      <c r="P8" s="2" t="s">
        <v>51</v>
      </c>
      <c r="Q8" s="9"/>
      <c r="R8" s="9"/>
    </row>
    <row r="9">
      <c r="A9" s="2">
        <f t="shared" si="1"/>
        <v>8</v>
      </c>
      <c r="B9" s="2" t="s">
        <v>52</v>
      </c>
      <c r="C9" s="2" t="s">
        <v>53</v>
      </c>
      <c r="D9" s="2" t="s">
        <v>31</v>
      </c>
      <c r="E9" s="6">
        <v>46219.0</v>
      </c>
      <c r="F9" s="2" t="s">
        <v>21</v>
      </c>
      <c r="G9" s="2" t="s">
        <v>22</v>
      </c>
      <c r="H9" s="2" t="s">
        <v>23</v>
      </c>
      <c r="I9" s="2" t="s">
        <v>33</v>
      </c>
      <c r="J9" s="2" t="s">
        <v>25</v>
      </c>
      <c r="K9" s="14" t="s">
        <v>54</v>
      </c>
      <c r="L9" s="2"/>
      <c r="M9" s="2"/>
      <c r="N9" s="2"/>
      <c r="O9" s="2"/>
      <c r="P9" s="8"/>
      <c r="Q9" s="9"/>
      <c r="R9" s="9"/>
    </row>
    <row r="10">
      <c r="A10" s="2">
        <f t="shared" si="1"/>
        <v>9</v>
      </c>
      <c r="B10" s="2" t="s">
        <v>52</v>
      </c>
      <c r="C10" s="2" t="s">
        <v>53</v>
      </c>
      <c r="D10" s="2" t="s">
        <v>31</v>
      </c>
      <c r="E10" s="6">
        <v>46219.0</v>
      </c>
      <c r="F10" s="2" t="s">
        <v>21</v>
      </c>
      <c r="G10" s="2" t="s">
        <v>22</v>
      </c>
      <c r="H10" s="2" t="s">
        <v>23</v>
      </c>
      <c r="I10" s="2" t="s">
        <v>55</v>
      </c>
      <c r="J10" s="2" t="s">
        <v>25</v>
      </c>
      <c r="K10" s="14" t="s">
        <v>54</v>
      </c>
      <c r="L10" s="2"/>
      <c r="M10" s="2"/>
      <c r="N10" s="2"/>
      <c r="O10" s="2"/>
      <c r="P10" s="8"/>
      <c r="Q10" s="9"/>
      <c r="R10" s="9"/>
    </row>
    <row r="11">
      <c r="A11" s="2">
        <f t="shared" si="1"/>
        <v>10</v>
      </c>
      <c r="B11" s="2" t="s">
        <v>52</v>
      </c>
      <c r="C11" s="2" t="s">
        <v>53</v>
      </c>
      <c r="D11" s="2" t="s">
        <v>31</v>
      </c>
      <c r="E11" s="6">
        <v>46219.0</v>
      </c>
      <c r="F11" s="2" t="s">
        <v>21</v>
      </c>
      <c r="G11" s="2" t="s">
        <v>38</v>
      </c>
      <c r="H11" s="2" t="s">
        <v>23</v>
      </c>
      <c r="I11" s="2" t="s">
        <v>33</v>
      </c>
      <c r="J11" s="2" t="s">
        <v>25</v>
      </c>
      <c r="K11" s="2"/>
      <c r="L11" s="2"/>
      <c r="M11" s="2"/>
      <c r="N11" s="2"/>
      <c r="O11" s="2"/>
      <c r="P11" s="8"/>
      <c r="Q11" s="9"/>
      <c r="R11" s="9"/>
    </row>
    <row r="12">
      <c r="A12" s="2">
        <f t="shared" si="1"/>
        <v>11</v>
      </c>
      <c r="B12" s="2" t="s">
        <v>52</v>
      </c>
      <c r="C12" s="2" t="s">
        <v>53</v>
      </c>
      <c r="D12" s="2" t="s">
        <v>31</v>
      </c>
      <c r="E12" s="6">
        <v>46219.0</v>
      </c>
      <c r="F12" s="2" t="s">
        <v>21</v>
      </c>
      <c r="G12" s="2" t="s">
        <v>38</v>
      </c>
      <c r="H12" s="2" t="s">
        <v>23</v>
      </c>
      <c r="I12" s="2" t="s">
        <v>55</v>
      </c>
      <c r="J12" s="2" t="s">
        <v>25</v>
      </c>
      <c r="K12" s="2"/>
      <c r="L12" s="2"/>
      <c r="M12" s="2"/>
      <c r="N12" s="2"/>
      <c r="O12" s="2"/>
      <c r="P12" s="8"/>
      <c r="Q12" s="9"/>
      <c r="R12" s="9"/>
    </row>
    <row r="13">
      <c r="A13" s="2">
        <f t="shared" si="1"/>
        <v>12</v>
      </c>
      <c r="B13" s="2" t="s">
        <v>18</v>
      </c>
      <c r="C13" s="5" t="s">
        <v>19</v>
      </c>
      <c r="D13" s="2" t="s">
        <v>20</v>
      </c>
      <c r="E13" s="6">
        <v>46219.0</v>
      </c>
      <c r="F13" s="2" t="s">
        <v>21</v>
      </c>
      <c r="G13" s="2" t="s">
        <v>38</v>
      </c>
      <c r="H13" s="2" t="s">
        <v>23</v>
      </c>
      <c r="I13" s="2" t="s">
        <v>24</v>
      </c>
      <c r="J13" s="2" t="s">
        <v>25</v>
      </c>
      <c r="K13" s="14" t="s">
        <v>26</v>
      </c>
      <c r="L13" s="2"/>
      <c r="M13" s="2">
        <v>244.0</v>
      </c>
      <c r="N13" s="2">
        <v>121.0</v>
      </c>
      <c r="O13" s="2">
        <v>9.0</v>
      </c>
      <c r="P13" s="2" t="s">
        <v>28</v>
      </c>
      <c r="Q13" s="15">
        <v>1171171.0</v>
      </c>
      <c r="R13" s="9"/>
    </row>
    <row r="14">
      <c r="A14" s="2">
        <f t="shared" si="1"/>
        <v>13</v>
      </c>
      <c r="B14" s="2" t="s">
        <v>45</v>
      </c>
      <c r="C14" s="2" t="s">
        <v>46</v>
      </c>
      <c r="D14" s="2" t="s">
        <v>31</v>
      </c>
      <c r="E14" s="6">
        <v>46219.0</v>
      </c>
      <c r="F14" s="2" t="s">
        <v>21</v>
      </c>
      <c r="G14" s="2" t="s">
        <v>22</v>
      </c>
      <c r="H14" s="2" t="s">
        <v>23</v>
      </c>
      <c r="I14" s="2" t="s">
        <v>33</v>
      </c>
      <c r="J14" s="2" t="s">
        <v>25</v>
      </c>
      <c r="K14" s="14" t="s">
        <v>57</v>
      </c>
      <c r="L14" s="2"/>
      <c r="M14" s="2">
        <v>20.445</v>
      </c>
      <c r="N14" s="2">
        <v>11.612</v>
      </c>
      <c r="O14" s="2">
        <v>554.0</v>
      </c>
      <c r="P14" s="2" t="s">
        <v>58</v>
      </c>
      <c r="Q14" s="9"/>
      <c r="R14" s="9"/>
    </row>
    <row r="15">
      <c r="A15" s="2">
        <f t="shared" si="1"/>
        <v>14</v>
      </c>
      <c r="B15" s="2" t="s">
        <v>59</v>
      </c>
      <c r="C15" s="2"/>
      <c r="D15" s="2" t="s">
        <v>31</v>
      </c>
      <c r="E15" s="20">
        <v>46213.0</v>
      </c>
      <c r="F15" s="21" t="s">
        <v>21</v>
      </c>
      <c r="G15" s="22" t="s">
        <v>60</v>
      </c>
      <c r="H15" s="23" t="s">
        <v>23</v>
      </c>
      <c r="I15" s="2" t="s">
        <v>33</v>
      </c>
      <c r="J15" s="2" t="s">
        <v>25</v>
      </c>
      <c r="K15" s="14" t="s">
        <v>61</v>
      </c>
      <c r="L15" s="2"/>
      <c r="M15" s="2">
        <v>19.121</v>
      </c>
      <c r="N15" s="2">
        <v>11.491</v>
      </c>
      <c r="O15" s="2">
        <v>436.0</v>
      </c>
      <c r="P15" s="2" t="s">
        <v>62</v>
      </c>
      <c r="Q15" s="9"/>
      <c r="R15" s="9"/>
    </row>
    <row r="16">
      <c r="A16" s="2">
        <f t="shared" si="1"/>
        <v>15</v>
      </c>
      <c r="B16" s="2" t="s">
        <v>63</v>
      </c>
      <c r="C16" s="2"/>
      <c r="D16" s="2" t="s">
        <v>64</v>
      </c>
      <c r="E16" s="20">
        <v>46214.0</v>
      </c>
      <c r="F16" s="24" t="s">
        <v>65</v>
      </c>
      <c r="G16" s="22" t="s">
        <v>60</v>
      </c>
      <c r="H16" s="23" t="s">
        <v>23</v>
      </c>
      <c r="I16" s="2" t="s">
        <v>33</v>
      </c>
      <c r="J16" s="2" t="s">
        <v>25</v>
      </c>
      <c r="K16" s="14" t="s">
        <v>66</v>
      </c>
      <c r="L16" s="2"/>
      <c r="M16" s="2">
        <v>13.304</v>
      </c>
      <c r="N16" s="2">
        <v>10.218</v>
      </c>
      <c r="O16" s="2">
        <v>196.0</v>
      </c>
      <c r="P16" s="2" t="s">
        <v>67</v>
      </c>
      <c r="Q16" s="9"/>
      <c r="R16" s="9"/>
    </row>
    <row r="17">
      <c r="A17" s="2">
        <f t="shared" si="1"/>
        <v>16</v>
      </c>
      <c r="B17" s="2" t="s">
        <v>68</v>
      </c>
      <c r="C17" s="2"/>
      <c r="D17" s="2" t="s">
        <v>31</v>
      </c>
      <c r="E17" s="2" t="s">
        <v>69</v>
      </c>
      <c r="F17" s="24" t="s">
        <v>70</v>
      </c>
      <c r="G17" s="22" t="s">
        <v>60</v>
      </c>
      <c r="H17" s="23" t="s">
        <v>23</v>
      </c>
      <c r="I17" s="2" t="s">
        <v>33</v>
      </c>
      <c r="J17" s="2" t="s">
        <v>25</v>
      </c>
      <c r="K17" s="14" t="s">
        <v>71</v>
      </c>
      <c r="L17" s="2"/>
      <c r="M17" s="2">
        <v>5.686</v>
      </c>
      <c r="N17" s="2">
        <v>2.734</v>
      </c>
      <c r="O17" s="2">
        <v>94.0</v>
      </c>
      <c r="P17" s="2" t="s">
        <v>72</v>
      </c>
      <c r="Q17" s="9"/>
      <c r="R17" s="9"/>
    </row>
    <row r="18">
      <c r="A18" s="2">
        <f t="shared" si="1"/>
        <v>17</v>
      </c>
      <c r="B18" s="2" t="s">
        <v>73</v>
      </c>
      <c r="C18" s="2"/>
      <c r="D18" s="2" t="s">
        <v>64</v>
      </c>
      <c r="E18" s="20">
        <v>46215.0</v>
      </c>
      <c r="F18" s="24" t="s">
        <v>65</v>
      </c>
      <c r="G18" s="22" t="s">
        <v>60</v>
      </c>
      <c r="H18" s="23" t="s">
        <v>23</v>
      </c>
      <c r="I18" s="2" t="s">
        <v>24</v>
      </c>
      <c r="J18" s="2" t="s">
        <v>25</v>
      </c>
      <c r="K18" s="14" t="s">
        <v>74</v>
      </c>
      <c r="L18" s="2"/>
      <c r="M18" s="2">
        <v>11.708</v>
      </c>
      <c r="N18" s="2">
        <v>8.016</v>
      </c>
      <c r="O18" s="2">
        <v>87.0</v>
      </c>
      <c r="P18" s="2" t="s">
        <v>75</v>
      </c>
      <c r="Q18" s="9"/>
      <c r="R18" s="9"/>
    </row>
    <row r="19">
      <c r="A19" s="2">
        <f t="shared" si="1"/>
        <v>18</v>
      </c>
      <c r="B19" s="2" t="s">
        <v>76</v>
      </c>
      <c r="C19" s="2"/>
      <c r="D19" s="2" t="s">
        <v>31</v>
      </c>
      <c r="E19" s="2" t="s">
        <v>77</v>
      </c>
      <c r="F19" s="24" t="s">
        <v>70</v>
      </c>
      <c r="G19" s="22" t="s">
        <v>60</v>
      </c>
      <c r="H19" s="23" t="s">
        <v>23</v>
      </c>
      <c r="I19" s="2" t="s">
        <v>33</v>
      </c>
      <c r="J19" s="2" t="s">
        <v>25</v>
      </c>
      <c r="K19" s="14" t="s">
        <v>78</v>
      </c>
      <c r="L19" s="2"/>
      <c r="M19" s="2">
        <v>8.386</v>
      </c>
      <c r="N19" s="2">
        <v>5.769</v>
      </c>
      <c r="O19" s="2">
        <v>78.0</v>
      </c>
      <c r="P19" s="2" t="s">
        <v>79</v>
      </c>
      <c r="Q19" s="9"/>
      <c r="R19" s="9"/>
    </row>
    <row r="20">
      <c r="A20" s="2">
        <f t="shared" si="1"/>
        <v>19</v>
      </c>
      <c r="B20" s="2" t="s">
        <v>45</v>
      </c>
      <c r="C20" s="2"/>
      <c r="D20" s="2" t="s">
        <v>31</v>
      </c>
      <c r="E20" s="2" t="s">
        <v>69</v>
      </c>
      <c r="F20" s="24" t="s">
        <v>21</v>
      </c>
      <c r="G20" s="22" t="s">
        <v>60</v>
      </c>
      <c r="H20" s="23" t="s">
        <v>23</v>
      </c>
      <c r="I20" s="2" t="s">
        <v>33</v>
      </c>
      <c r="J20" s="2" t="s">
        <v>25</v>
      </c>
      <c r="K20" s="14" t="s">
        <v>80</v>
      </c>
      <c r="L20" s="2"/>
      <c r="M20" s="2">
        <v>6.452</v>
      </c>
      <c r="N20" s="2">
        <v>2.8</v>
      </c>
      <c r="O20" s="2">
        <v>68.0</v>
      </c>
      <c r="P20" s="2" t="s">
        <v>81</v>
      </c>
      <c r="Q20" s="9"/>
      <c r="R20" s="9"/>
    </row>
    <row r="21">
      <c r="A21" s="2">
        <f t="shared" si="1"/>
        <v>20</v>
      </c>
      <c r="B21" s="2" t="s">
        <v>82</v>
      </c>
      <c r="C21" s="2"/>
      <c r="D21" s="2" t="s">
        <v>31</v>
      </c>
      <c r="E21" s="20">
        <v>46215.0</v>
      </c>
      <c r="F21" s="24" t="s">
        <v>21</v>
      </c>
      <c r="G21" s="22" t="s">
        <v>60</v>
      </c>
      <c r="H21" s="23" t="s">
        <v>23</v>
      </c>
      <c r="I21" s="2" t="s">
        <v>33</v>
      </c>
      <c r="J21" s="2" t="s">
        <v>25</v>
      </c>
      <c r="K21" s="14" t="s">
        <v>83</v>
      </c>
      <c r="L21" s="2"/>
      <c r="M21" s="2">
        <v>11.644</v>
      </c>
      <c r="N21" s="2">
        <v>7.325</v>
      </c>
      <c r="O21" s="2">
        <v>41.0</v>
      </c>
      <c r="P21" s="2" t="s">
        <v>84</v>
      </c>
      <c r="Q21" s="9"/>
      <c r="R21" s="9"/>
    </row>
    <row r="22">
      <c r="A22" s="2">
        <f t="shared" si="1"/>
        <v>21</v>
      </c>
      <c r="B22" s="2" t="s">
        <v>85</v>
      </c>
      <c r="C22" s="2"/>
      <c r="D22" s="2" t="s">
        <v>64</v>
      </c>
      <c r="E22" s="20">
        <v>46213.0</v>
      </c>
      <c r="F22" s="24" t="s">
        <v>65</v>
      </c>
      <c r="G22" s="22" t="s">
        <v>60</v>
      </c>
      <c r="H22" s="23" t="s">
        <v>23</v>
      </c>
      <c r="I22" s="2" t="s">
        <v>24</v>
      </c>
      <c r="J22" s="2" t="s">
        <v>25</v>
      </c>
      <c r="K22" s="14" t="s">
        <v>86</v>
      </c>
      <c r="L22" s="2"/>
      <c r="M22" s="2">
        <v>1.954</v>
      </c>
      <c r="N22" s="2">
        <v>1.225</v>
      </c>
      <c r="O22" s="2">
        <v>33.0</v>
      </c>
      <c r="P22" s="2" t="s">
        <v>48</v>
      </c>
      <c r="Q22" s="9"/>
      <c r="R22" s="9"/>
    </row>
    <row r="23">
      <c r="A23" s="2">
        <f t="shared" si="1"/>
        <v>22</v>
      </c>
      <c r="B23" s="2" t="s">
        <v>87</v>
      </c>
      <c r="C23" s="2"/>
      <c r="D23" s="2" t="s">
        <v>64</v>
      </c>
      <c r="E23" s="20">
        <v>46214.0</v>
      </c>
      <c r="F23" s="24" t="s">
        <v>65</v>
      </c>
      <c r="G23" s="22" t="s">
        <v>60</v>
      </c>
      <c r="H23" s="23" t="s">
        <v>23</v>
      </c>
      <c r="I23" s="2" t="s">
        <v>24</v>
      </c>
      <c r="J23" s="2" t="s">
        <v>25</v>
      </c>
      <c r="K23" s="14" t="s">
        <v>88</v>
      </c>
      <c r="L23" s="2"/>
      <c r="M23" s="2">
        <v>453.0</v>
      </c>
      <c r="N23" s="2">
        <v>182.0</v>
      </c>
      <c r="O23" s="2">
        <v>17.0</v>
      </c>
      <c r="P23" s="2" t="s">
        <v>89</v>
      </c>
      <c r="Q23" s="9"/>
      <c r="R23" s="9"/>
    </row>
    <row r="24">
      <c r="A24" s="2">
        <f t="shared" si="1"/>
        <v>23</v>
      </c>
      <c r="B24" s="2" t="s">
        <v>90</v>
      </c>
      <c r="C24" s="2"/>
      <c r="D24" s="2" t="s">
        <v>64</v>
      </c>
      <c r="E24" s="2" t="s">
        <v>69</v>
      </c>
      <c r="F24" s="24" t="s">
        <v>65</v>
      </c>
      <c r="G24" s="22" t="s">
        <v>60</v>
      </c>
      <c r="H24" s="23" t="s">
        <v>91</v>
      </c>
      <c r="I24" s="2" t="s">
        <v>33</v>
      </c>
      <c r="J24" s="2" t="s">
        <v>25</v>
      </c>
      <c r="K24" s="14" t="s">
        <v>92</v>
      </c>
      <c r="L24" s="2"/>
      <c r="M24" s="2">
        <v>507.0</v>
      </c>
      <c r="N24" s="2"/>
      <c r="O24" s="2">
        <v>3.0</v>
      </c>
      <c r="P24" s="2" t="s">
        <v>93</v>
      </c>
      <c r="Q24" s="9"/>
      <c r="R24" s="9"/>
    </row>
    <row r="25">
      <c r="A25" s="2">
        <f t="shared" si="1"/>
        <v>24</v>
      </c>
      <c r="B25" s="2" t="s">
        <v>90</v>
      </c>
      <c r="C25" s="2"/>
      <c r="D25" s="2" t="s">
        <v>64</v>
      </c>
      <c r="E25" s="2" t="s">
        <v>94</v>
      </c>
      <c r="F25" s="24" t="s">
        <v>65</v>
      </c>
      <c r="G25" s="23" t="s">
        <v>32</v>
      </c>
      <c r="H25" s="23" t="s">
        <v>95</v>
      </c>
      <c r="I25" s="2" t="s">
        <v>33</v>
      </c>
      <c r="J25" s="2" t="s">
        <v>25</v>
      </c>
      <c r="K25" s="14" t="s">
        <v>96</v>
      </c>
      <c r="L25" s="2"/>
      <c r="M25" s="2">
        <v>809.0</v>
      </c>
      <c r="N25" s="2">
        <v>740.0</v>
      </c>
      <c r="O25" s="2">
        <v>3.0</v>
      </c>
      <c r="P25" s="2" t="s">
        <v>97</v>
      </c>
      <c r="Q25" s="9"/>
      <c r="R25" s="9"/>
    </row>
    <row r="26">
      <c r="A26" s="2">
        <f t="shared" si="1"/>
        <v>25</v>
      </c>
      <c r="B26" s="2" t="s">
        <v>76</v>
      </c>
      <c r="C26" s="2"/>
      <c r="D26" s="2" t="s">
        <v>31</v>
      </c>
      <c r="E26" s="2" t="s">
        <v>77</v>
      </c>
      <c r="F26" s="24" t="s">
        <v>70</v>
      </c>
      <c r="G26" s="22" t="s">
        <v>38</v>
      </c>
      <c r="H26" s="23" t="s">
        <v>23</v>
      </c>
      <c r="I26" s="2" t="s">
        <v>33</v>
      </c>
      <c r="J26" s="2" t="s">
        <v>25</v>
      </c>
      <c r="K26" s="14" t="s">
        <v>98</v>
      </c>
      <c r="L26" s="2"/>
      <c r="M26" s="2">
        <v>873.0</v>
      </c>
      <c r="N26" s="2">
        <v>767.0</v>
      </c>
      <c r="O26" s="2">
        <v>1.0</v>
      </c>
      <c r="P26" s="2" t="s">
        <v>99</v>
      </c>
      <c r="Q26" s="9"/>
      <c r="R26" s="9"/>
    </row>
    <row r="27">
      <c r="A27" s="2">
        <f t="shared" si="1"/>
        <v>26</v>
      </c>
      <c r="B27" s="2" t="s">
        <v>90</v>
      </c>
      <c r="C27" s="2"/>
      <c r="D27" s="2" t="s">
        <v>64</v>
      </c>
      <c r="E27" s="2" t="s">
        <v>94</v>
      </c>
      <c r="F27" s="24" t="s">
        <v>65</v>
      </c>
      <c r="G27" s="22" t="s">
        <v>60</v>
      </c>
      <c r="H27" s="23" t="s">
        <v>91</v>
      </c>
      <c r="I27" s="2" t="s">
        <v>33</v>
      </c>
      <c r="J27" s="2" t="s">
        <v>25</v>
      </c>
      <c r="K27" s="14" t="s">
        <v>100</v>
      </c>
      <c r="L27" s="2"/>
      <c r="M27" s="2">
        <v>705.0</v>
      </c>
      <c r="N27" s="2"/>
      <c r="O27" s="2">
        <v>1.0</v>
      </c>
      <c r="P27" s="2" t="s">
        <v>101</v>
      </c>
      <c r="Q27" s="9"/>
      <c r="R27" s="9"/>
    </row>
    <row r="28">
      <c r="A28" s="2">
        <f t="shared" si="1"/>
        <v>27</v>
      </c>
      <c r="B28" s="2" t="s">
        <v>102</v>
      </c>
      <c r="C28" s="2"/>
      <c r="D28" s="2" t="s">
        <v>64</v>
      </c>
      <c r="E28" s="20">
        <v>46215.0</v>
      </c>
      <c r="F28" s="24" t="s">
        <v>65</v>
      </c>
      <c r="G28" s="22" t="s">
        <v>60</v>
      </c>
      <c r="H28" s="23" t="s">
        <v>91</v>
      </c>
      <c r="I28" s="2" t="s">
        <v>24</v>
      </c>
      <c r="J28" s="2" t="s">
        <v>25</v>
      </c>
      <c r="K28" s="14" t="s">
        <v>103</v>
      </c>
      <c r="L28" s="2"/>
      <c r="M28" s="2">
        <v>120.0</v>
      </c>
      <c r="N28" s="2"/>
      <c r="O28" s="2">
        <v>1.0</v>
      </c>
      <c r="P28" s="2" t="s">
        <v>104</v>
      </c>
      <c r="Q28" s="9"/>
      <c r="R28" s="9"/>
    </row>
    <row r="29">
      <c r="A29" s="2">
        <f t="shared" si="1"/>
        <v>28</v>
      </c>
      <c r="B29" s="2" t="s">
        <v>105</v>
      </c>
      <c r="C29" s="2"/>
      <c r="D29" s="2" t="s">
        <v>64</v>
      </c>
      <c r="E29" s="20">
        <v>46215.0</v>
      </c>
      <c r="F29" s="24" t="s">
        <v>65</v>
      </c>
      <c r="G29" s="22" t="s">
        <v>38</v>
      </c>
      <c r="H29" s="23" t="s">
        <v>23</v>
      </c>
      <c r="I29" s="2" t="s">
        <v>33</v>
      </c>
      <c r="J29" s="2" t="s">
        <v>25</v>
      </c>
      <c r="K29" s="14" t="s">
        <v>106</v>
      </c>
      <c r="L29" s="2"/>
      <c r="M29" s="2">
        <v>1.006</v>
      </c>
      <c r="N29" s="2">
        <v>929.0</v>
      </c>
      <c r="O29" s="2">
        <v>1.0</v>
      </c>
      <c r="P29" s="2" t="s">
        <v>107</v>
      </c>
      <c r="Q29" s="9"/>
      <c r="R29" s="9"/>
    </row>
    <row r="30">
      <c r="A30" s="2">
        <f t="shared" si="1"/>
        <v>29</v>
      </c>
      <c r="B30" s="2" t="s">
        <v>108</v>
      </c>
      <c r="C30" s="2"/>
      <c r="D30" s="2" t="s">
        <v>64</v>
      </c>
      <c r="E30" s="20">
        <v>46214.0</v>
      </c>
      <c r="F30" s="24" t="s">
        <v>65</v>
      </c>
      <c r="G30" s="22" t="s">
        <v>60</v>
      </c>
      <c r="H30" s="23" t="s">
        <v>91</v>
      </c>
      <c r="I30" s="2" t="s">
        <v>24</v>
      </c>
      <c r="J30" s="2" t="s">
        <v>25</v>
      </c>
      <c r="K30" s="14" t="s">
        <v>109</v>
      </c>
      <c r="L30" s="2"/>
      <c r="M30" s="2">
        <v>114.0</v>
      </c>
      <c r="N30" s="2"/>
      <c r="O30" s="2">
        <v>1.0</v>
      </c>
      <c r="P30" s="2" t="s">
        <v>110</v>
      </c>
      <c r="Q30" s="9"/>
      <c r="R30" s="9"/>
    </row>
    <row r="31">
      <c r="A31" s="2">
        <f t="shared" si="1"/>
        <v>30</v>
      </c>
      <c r="B31" s="2" t="s">
        <v>111</v>
      </c>
      <c r="C31" s="2"/>
      <c r="D31" s="2" t="s">
        <v>64</v>
      </c>
      <c r="E31" s="20">
        <v>46214.0</v>
      </c>
      <c r="F31" s="24" t="s">
        <v>65</v>
      </c>
      <c r="G31" s="22" t="s">
        <v>38</v>
      </c>
      <c r="H31" s="23" t="s">
        <v>23</v>
      </c>
      <c r="I31" s="2" t="s">
        <v>33</v>
      </c>
      <c r="J31" s="2" t="s">
        <v>25</v>
      </c>
      <c r="K31" s="14" t="s">
        <v>112</v>
      </c>
      <c r="L31" s="2"/>
      <c r="M31" s="2">
        <v>784.0</v>
      </c>
      <c r="N31" s="2">
        <v>714.0</v>
      </c>
      <c r="O31" s="2">
        <v>1.0</v>
      </c>
      <c r="P31" s="2" t="s">
        <v>113</v>
      </c>
      <c r="Q31" s="9"/>
      <c r="R31" s="9"/>
    </row>
    <row r="32">
      <c r="A32" s="2">
        <f t="shared" si="1"/>
        <v>31</v>
      </c>
      <c r="B32" s="2" t="s">
        <v>111</v>
      </c>
      <c r="C32" s="2"/>
      <c r="D32" s="2" t="s">
        <v>64</v>
      </c>
      <c r="E32" s="20">
        <v>46214.0</v>
      </c>
      <c r="F32" s="24" t="s">
        <v>65</v>
      </c>
      <c r="G32" s="22" t="s">
        <v>60</v>
      </c>
      <c r="H32" s="23" t="s">
        <v>91</v>
      </c>
      <c r="I32" s="2" t="s">
        <v>33</v>
      </c>
      <c r="J32" s="2" t="s">
        <v>25</v>
      </c>
      <c r="K32" s="14" t="s">
        <v>114</v>
      </c>
      <c r="L32" s="2"/>
      <c r="M32" s="2">
        <v>486.0</v>
      </c>
      <c r="N32" s="2"/>
      <c r="O32" s="2">
        <v>1.0</v>
      </c>
      <c r="P32" s="2" t="s">
        <v>115</v>
      </c>
      <c r="Q32" s="9"/>
      <c r="R32" s="9"/>
    </row>
    <row r="33">
      <c r="A33" s="2">
        <f t="shared" si="1"/>
        <v>32</v>
      </c>
      <c r="B33" s="2" t="s">
        <v>68</v>
      </c>
      <c r="C33" s="2"/>
      <c r="D33" s="2" t="s">
        <v>31</v>
      </c>
      <c r="E33" s="2" t="s">
        <v>69</v>
      </c>
      <c r="F33" s="24" t="s">
        <v>70</v>
      </c>
      <c r="G33" s="22" t="s">
        <v>38</v>
      </c>
      <c r="H33" s="23" t="s">
        <v>23</v>
      </c>
      <c r="I33" s="2" t="s">
        <v>33</v>
      </c>
      <c r="J33" s="2" t="s">
        <v>25</v>
      </c>
      <c r="K33" s="14" t="s">
        <v>116</v>
      </c>
      <c r="L33" s="2"/>
      <c r="M33" s="2">
        <v>631.0</v>
      </c>
      <c r="N33" s="2">
        <v>540.0</v>
      </c>
      <c r="O33" s="2">
        <v>0.0</v>
      </c>
      <c r="P33" s="25">
        <v>0.0</v>
      </c>
      <c r="Q33" s="9"/>
      <c r="R33" s="9"/>
    </row>
    <row r="34">
      <c r="A34" s="2">
        <f t="shared" si="1"/>
        <v>33</v>
      </c>
      <c r="B34" s="2" t="s">
        <v>68</v>
      </c>
      <c r="C34" s="2"/>
      <c r="D34" s="2" t="s">
        <v>31</v>
      </c>
      <c r="E34" s="2" t="s">
        <v>69</v>
      </c>
      <c r="F34" s="24" t="s">
        <v>70</v>
      </c>
      <c r="G34" s="22" t="s">
        <v>60</v>
      </c>
      <c r="H34" s="23" t="s">
        <v>91</v>
      </c>
      <c r="I34" s="2" t="s">
        <v>33</v>
      </c>
      <c r="J34" s="2" t="s">
        <v>25</v>
      </c>
      <c r="K34" s="14" t="s">
        <v>117</v>
      </c>
      <c r="L34" s="2"/>
      <c r="M34" s="2">
        <v>389.0</v>
      </c>
      <c r="N34" s="2"/>
      <c r="O34" s="2">
        <v>0.0</v>
      </c>
      <c r="P34" s="25">
        <v>0.0</v>
      </c>
      <c r="Q34" s="9"/>
      <c r="R34" s="9"/>
    </row>
    <row r="35">
      <c r="A35" s="2">
        <f t="shared" si="1"/>
        <v>34</v>
      </c>
      <c r="B35" s="2" t="s">
        <v>76</v>
      </c>
      <c r="C35" s="2"/>
      <c r="D35" s="2" t="s">
        <v>31</v>
      </c>
      <c r="E35" s="2" t="s">
        <v>77</v>
      </c>
      <c r="F35" s="24" t="s">
        <v>70</v>
      </c>
      <c r="G35" s="22" t="s">
        <v>38</v>
      </c>
      <c r="H35" s="23" t="s">
        <v>23</v>
      </c>
      <c r="I35" s="2" t="s">
        <v>33</v>
      </c>
      <c r="J35" s="2" t="s">
        <v>25</v>
      </c>
      <c r="K35" s="14" t="s">
        <v>118</v>
      </c>
      <c r="L35" s="2"/>
      <c r="M35" s="2">
        <v>714.0</v>
      </c>
      <c r="N35" s="2">
        <v>640.0</v>
      </c>
      <c r="O35" s="2">
        <v>0.0</v>
      </c>
      <c r="P35" s="25">
        <v>0.0</v>
      </c>
      <c r="Q35" s="9"/>
      <c r="R35" s="9"/>
    </row>
    <row r="36">
      <c r="A36" s="2">
        <f t="shared" si="1"/>
        <v>35</v>
      </c>
      <c r="B36" s="2" t="s">
        <v>76</v>
      </c>
      <c r="C36" s="2"/>
      <c r="D36" s="2" t="s">
        <v>31</v>
      </c>
      <c r="E36" s="2" t="s">
        <v>77</v>
      </c>
      <c r="F36" s="24" t="s">
        <v>70</v>
      </c>
      <c r="G36" s="22" t="s">
        <v>60</v>
      </c>
      <c r="H36" s="23" t="s">
        <v>91</v>
      </c>
      <c r="I36" s="2" t="s">
        <v>33</v>
      </c>
      <c r="J36" s="2" t="s">
        <v>25</v>
      </c>
      <c r="K36" s="14" t="s">
        <v>119</v>
      </c>
      <c r="L36" s="2"/>
      <c r="M36" s="2">
        <v>404.0</v>
      </c>
      <c r="N36" s="2"/>
      <c r="O36" s="2">
        <v>0.0</v>
      </c>
      <c r="P36" s="25">
        <v>0.0</v>
      </c>
      <c r="Q36" s="9"/>
      <c r="R36" s="9"/>
    </row>
    <row r="37">
      <c r="A37" s="2">
        <f t="shared" si="1"/>
        <v>36</v>
      </c>
      <c r="B37" s="2" t="s">
        <v>76</v>
      </c>
      <c r="C37" s="2"/>
      <c r="D37" s="2" t="s">
        <v>31</v>
      </c>
      <c r="E37" s="2" t="s">
        <v>77</v>
      </c>
      <c r="F37" s="24" t="s">
        <v>70</v>
      </c>
      <c r="G37" s="22" t="s">
        <v>60</v>
      </c>
      <c r="H37" s="23" t="s">
        <v>91</v>
      </c>
      <c r="I37" s="2" t="s">
        <v>33</v>
      </c>
      <c r="J37" s="2" t="s">
        <v>25</v>
      </c>
      <c r="K37" s="14" t="s">
        <v>120</v>
      </c>
      <c r="L37" s="2"/>
      <c r="M37" s="2">
        <v>319.0</v>
      </c>
      <c r="N37" s="2"/>
      <c r="O37" s="2">
        <v>0.0</v>
      </c>
      <c r="P37" s="25">
        <v>0.0</v>
      </c>
      <c r="Q37" s="9"/>
      <c r="R37" s="9"/>
    </row>
    <row r="38">
      <c r="A38" s="2">
        <f t="shared" si="1"/>
        <v>37</v>
      </c>
      <c r="B38" s="2" t="s">
        <v>76</v>
      </c>
      <c r="C38" s="2"/>
      <c r="D38" s="2" t="s">
        <v>31</v>
      </c>
      <c r="E38" s="2" t="s">
        <v>121</v>
      </c>
      <c r="F38" s="24" t="s">
        <v>70</v>
      </c>
      <c r="G38" s="22" t="s">
        <v>60</v>
      </c>
      <c r="H38" s="23" t="s">
        <v>95</v>
      </c>
      <c r="I38" s="2" t="s">
        <v>33</v>
      </c>
      <c r="J38" s="2" t="s">
        <v>25</v>
      </c>
      <c r="K38" s="14" t="s">
        <v>122</v>
      </c>
      <c r="L38" s="2"/>
      <c r="M38" s="2">
        <v>138.0</v>
      </c>
      <c r="N38" s="2">
        <v>102.0</v>
      </c>
      <c r="O38" s="2">
        <v>0.0</v>
      </c>
      <c r="P38" s="25">
        <v>0.0</v>
      </c>
      <c r="Q38" s="9"/>
      <c r="R38" s="9"/>
    </row>
    <row r="39">
      <c r="A39" s="2" t="str">
        <f>1+#REF!</f>
        <v>#REF!</v>
      </c>
      <c r="B39" s="2" t="s">
        <v>102</v>
      </c>
      <c r="C39" s="2"/>
      <c r="D39" s="2" t="s">
        <v>64</v>
      </c>
      <c r="E39" s="20">
        <v>46215.0</v>
      </c>
      <c r="F39" s="24" t="s">
        <v>65</v>
      </c>
      <c r="G39" s="22" t="s">
        <v>60</v>
      </c>
      <c r="H39" s="23" t="s">
        <v>95</v>
      </c>
      <c r="I39" s="2" t="s">
        <v>24</v>
      </c>
      <c r="J39" s="2" t="s">
        <v>25</v>
      </c>
      <c r="K39" s="14" t="s">
        <v>123</v>
      </c>
      <c r="L39" s="2"/>
      <c r="M39" s="2">
        <v>18.0</v>
      </c>
      <c r="N39" s="2">
        <v>12.0</v>
      </c>
      <c r="O39" s="2">
        <v>0.0</v>
      </c>
      <c r="P39" s="25">
        <v>0.0</v>
      </c>
      <c r="Q39" s="9"/>
      <c r="R39" s="9"/>
    </row>
    <row r="40">
      <c r="A40" s="2" t="str">
        <f t="shared" ref="A40:A54" si="2">1+A39</f>
        <v>#REF!</v>
      </c>
      <c r="B40" s="2" t="s">
        <v>105</v>
      </c>
      <c r="C40" s="2"/>
      <c r="D40" s="2" t="s">
        <v>64</v>
      </c>
      <c r="E40" s="20">
        <v>46215.0</v>
      </c>
      <c r="F40" s="24" t="s">
        <v>65</v>
      </c>
      <c r="G40" s="22" t="s">
        <v>60</v>
      </c>
      <c r="H40" s="23" t="s">
        <v>91</v>
      </c>
      <c r="I40" s="2" t="s">
        <v>33</v>
      </c>
      <c r="J40" s="2" t="s">
        <v>25</v>
      </c>
      <c r="K40" s="14" t="s">
        <v>124</v>
      </c>
      <c r="L40" s="2"/>
      <c r="M40" s="2">
        <v>439.0</v>
      </c>
      <c r="N40" s="2"/>
      <c r="O40" s="2">
        <v>0.0</v>
      </c>
      <c r="P40" s="25">
        <v>0.0</v>
      </c>
      <c r="Q40" s="9"/>
      <c r="R40" s="9"/>
    </row>
    <row r="41">
      <c r="A41" s="2" t="str">
        <f t="shared" si="2"/>
        <v>#REF!</v>
      </c>
      <c r="B41" s="2" t="s">
        <v>108</v>
      </c>
      <c r="C41" s="2"/>
      <c r="D41" s="7" t="s">
        <v>64</v>
      </c>
      <c r="E41" s="20">
        <v>46214.0</v>
      </c>
      <c r="F41" s="24" t="s">
        <v>65</v>
      </c>
      <c r="G41" s="22" t="s">
        <v>60</v>
      </c>
      <c r="H41" s="23" t="s">
        <v>95</v>
      </c>
      <c r="I41" s="2" t="s">
        <v>24</v>
      </c>
      <c r="J41" s="2" t="s">
        <v>25</v>
      </c>
      <c r="K41" s="14" t="s">
        <v>125</v>
      </c>
      <c r="L41" s="2"/>
      <c r="M41" s="2">
        <v>13.0</v>
      </c>
      <c r="N41" s="2">
        <v>10.0</v>
      </c>
      <c r="O41" s="2">
        <v>0.0</v>
      </c>
      <c r="P41" s="25">
        <v>0.0</v>
      </c>
      <c r="Q41" s="9"/>
      <c r="R41" s="9"/>
    </row>
    <row r="42">
      <c r="A42" s="2" t="str">
        <f t="shared" si="2"/>
        <v>#REF!</v>
      </c>
      <c r="B42" s="2" t="s">
        <v>126</v>
      </c>
      <c r="C42" s="2"/>
      <c r="D42" s="2" t="s">
        <v>64</v>
      </c>
      <c r="E42" s="20">
        <v>46214.0</v>
      </c>
      <c r="F42" s="24" t="s">
        <v>65</v>
      </c>
      <c r="G42" s="22" t="s">
        <v>60</v>
      </c>
      <c r="H42" s="23" t="s">
        <v>95</v>
      </c>
      <c r="I42" s="2" t="s">
        <v>33</v>
      </c>
      <c r="J42" s="2" t="s">
        <v>25</v>
      </c>
      <c r="K42" s="14" t="s">
        <v>127</v>
      </c>
      <c r="L42" s="2"/>
      <c r="M42" s="2">
        <v>353.0</v>
      </c>
      <c r="N42" s="2">
        <v>222.0</v>
      </c>
      <c r="O42" s="2">
        <v>0.0</v>
      </c>
      <c r="P42" s="25">
        <v>0.0</v>
      </c>
      <c r="Q42" s="9"/>
      <c r="R42" s="9"/>
    </row>
    <row r="43">
      <c r="A43" s="2" t="str">
        <f t="shared" si="2"/>
        <v>#REF!</v>
      </c>
      <c r="B43" s="2" t="s">
        <v>128</v>
      </c>
      <c r="C43" s="2"/>
      <c r="D43" s="2" t="s">
        <v>64</v>
      </c>
      <c r="E43" s="20">
        <v>46214.0</v>
      </c>
      <c r="F43" s="24" t="s">
        <v>65</v>
      </c>
      <c r="G43" s="22" t="s">
        <v>60</v>
      </c>
      <c r="H43" s="23" t="s">
        <v>95</v>
      </c>
      <c r="I43" s="2" t="s">
        <v>33</v>
      </c>
      <c r="J43" s="2" t="s">
        <v>25</v>
      </c>
      <c r="K43" s="14" t="s">
        <v>129</v>
      </c>
      <c r="L43" s="2"/>
      <c r="M43" s="2">
        <v>92.0</v>
      </c>
      <c r="N43" s="2">
        <v>72.0</v>
      </c>
      <c r="O43" s="2">
        <v>0.0</v>
      </c>
      <c r="P43" s="25">
        <v>0.0</v>
      </c>
      <c r="Q43" s="9"/>
      <c r="R43" s="9"/>
    </row>
    <row r="44">
      <c r="A44" s="2" t="str">
        <f t="shared" si="2"/>
        <v>#REF!</v>
      </c>
      <c r="B44" s="2" t="s">
        <v>130</v>
      </c>
      <c r="C44" s="2"/>
      <c r="D44" s="2" t="s">
        <v>64</v>
      </c>
      <c r="E44" s="20">
        <v>46213.0</v>
      </c>
      <c r="F44" s="24" t="s">
        <v>65</v>
      </c>
      <c r="G44" s="22" t="s">
        <v>60</v>
      </c>
      <c r="H44" s="23" t="s">
        <v>95</v>
      </c>
      <c r="I44" s="2" t="s">
        <v>33</v>
      </c>
      <c r="J44" s="2" t="s">
        <v>25</v>
      </c>
      <c r="K44" s="14" t="s">
        <v>131</v>
      </c>
      <c r="L44" s="2"/>
      <c r="M44" s="2">
        <v>176.0</v>
      </c>
      <c r="N44" s="2">
        <v>116.0</v>
      </c>
      <c r="O44" s="2">
        <v>0.0</v>
      </c>
      <c r="P44" s="25">
        <v>0.0</v>
      </c>
      <c r="Q44" s="9"/>
      <c r="R44" s="9"/>
    </row>
    <row r="45">
      <c r="A45" s="2" t="str">
        <f t="shared" si="2"/>
        <v>#REF!</v>
      </c>
      <c r="B45" s="2" t="s">
        <v>132</v>
      </c>
      <c r="C45" s="2"/>
      <c r="D45" s="2" t="s">
        <v>31</v>
      </c>
      <c r="E45" s="2" t="s">
        <v>133</v>
      </c>
      <c r="F45" s="26" t="s">
        <v>21</v>
      </c>
      <c r="G45" s="23" t="s">
        <v>22</v>
      </c>
      <c r="H45" s="23" t="s">
        <v>23</v>
      </c>
      <c r="I45" s="2" t="s">
        <v>33</v>
      </c>
      <c r="J45" s="2" t="s">
        <v>25</v>
      </c>
      <c r="K45" s="10" t="s">
        <v>134</v>
      </c>
      <c r="L45" s="2" t="s">
        <v>135</v>
      </c>
      <c r="M45" s="27">
        <v>15669.0</v>
      </c>
      <c r="N45" s="2">
        <v>8869.0</v>
      </c>
      <c r="O45" s="2">
        <v>260.0</v>
      </c>
      <c r="P45" s="28">
        <f>O45/M45</f>
        <v>0.01659327334</v>
      </c>
      <c r="Q45" s="9"/>
      <c r="R45" s="9"/>
    </row>
    <row r="46">
      <c r="A46" s="2" t="str">
        <f t="shared" si="2"/>
        <v>#REF!</v>
      </c>
      <c r="B46" s="2"/>
      <c r="C46" s="2"/>
      <c r="D46" s="7"/>
      <c r="K46" s="12"/>
      <c r="Q46" s="9"/>
      <c r="R46" s="9"/>
    </row>
    <row r="47">
      <c r="A47" s="2" t="str">
        <f t="shared" si="2"/>
        <v>#REF!</v>
      </c>
      <c r="B47" s="2"/>
      <c r="C47" s="2"/>
      <c r="D47" s="2"/>
      <c r="E47" s="6"/>
      <c r="F47" s="2"/>
      <c r="G47" s="22"/>
      <c r="H47" s="22"/>
      <c r="I47" s="2"/>
      <c r="J47" s="2"/>
      <c r="K47" s="12"/>
      <c r="L47" s="2"/>
      <c r="M47" s="2"/>
      <c r="N47" s="2"/>
      <c r="O47" s="2"/>
      <c r="P47" s="8"/>
      <c r="Q47" s="9"/>
      <c r="R47" s="9"/>
    </row>
    <row r="48">
      <c r="A48" s="2" t="str">
        <f t="shared" si="2"/>
        <v>#REF!</v>
      </c>
      <c r="B48" s="2"/>
      <c r="C48" s="2"/>
      <c r="D48" s="2"/>
      <c r="E48" s="6"/>
      <c r="F48" s="2"/>
      <c r="G48" s="2"/>
      <c r="H48" s="2"/>
      <c r="I48" s="2"/>
      <c r="J48" s="2"/>
      <c r="K48" s="2"/>
      <c r="L48" s="2"/>
      <c r="M48" s="2"/>
      <c r="N48" s="2"/>
      <c r="O48" s="2"/>
      <c r="P48" s="8"/>
      <c r="Q48" s="9"/>
      <c r="R48" s="9"/>
    </row>
    <row r="49">
      <c r="A49" s="2" t="str">
        <f t="shared" si="2"/>
        <v>#REF!</v>
      </c>
      <c r="B49" s="2"/>
      <c r="C49" s="2"/>
      <c r="D49" s="2"/>
      <c r="E49" s="6"/>
      <c r="F49" s="2"/>
      <c r="G49" s="2"/>
      <c r="H49" s="2"/>
      <c r="I49" s="2"/>
      <c r="J49" s="2"/>
      <c r="K49" s="2"/>
      <c r="L49" s="2"/>
      <c r="M49" s="2"/>
      <c r="N49" s="2"/>
      <c r="O49" s="2"/>
      <c r="P49" s="8"/>
      <c r="Q49" s="9"/>
      <c r="R49" s="9"/>
    </row>
    <row r="50">
      <c r="A50" s="2" t="str">
        <f t="shared" si="2"/>
        <v>#REF!</v>
      </c>
      <c r="B50" s="2"/>
      <c r="C50" s="2"/>
      <c r="D50" s="2"/>
      <c r="E50" s="6"/>
      <c r="F50" s="2"/>
      <c r="G50" s="2"/>
      <c r="H50" s="2"/>
      <c r="I50" s="2"/>
      <c r="J50" s="2"/>
      <c r="K50" s="2"/>
      <c r="L50" s="2"/>
      <c r="M50" s="2"/>
      <c r="N50" s="2"/>
      <c r="O50" s="2"/>
      <c r="P50" s="8"/>
      <c r="Q50" s="9"/>
      <c r="R50" s="9"/>
    </row>
    <row r="51">
      <c r="A51" s="2" t="str">
        <f t="shared" si="2"/>
        <v>#REF!</v>
      </c>
      <c r="B51" s="2"/>
      <c r="C51" s="2"/>
      <c r="D51" s="2"/>
      <c r="E51" s="6"/>
      <c r="F51" s="2"/>
      <c r="G51" s="2"/>
      <c r="H51" s="2"/>
      <c r="I51" s="2"/>
      <c r="J51" s="2"/>
      <c r="K51" s="2"/>
      <c r="L51" s="2"/>
      <c r="M51" s="2"/>
      <c r="N51" s="2"/>
      <c r="O51" s="2"/>
      <c r="P51" s="8"/>
      <c r="Q51" s="9"/>
      <c r="R51" s="9"/>
    </row>
    <row r="52">
      <c r="A52" s="2" t="str">
        <f t="shared" si="2"/>
        <v>#REF!</v>
      </c>
      <c r="B52" s="2"/>
      <c r="C52" s="2"/>
      <c r="D52" s="2"/>
      <c r="E52" s="6"/>
      <c r="F52" s="2"/>
      <c r="G52" s="2"/>
      <c r="H52" s="2"/>
      <c r="I52" s="2"/>
      <c r="J52" s="2"/>
      <c r="K52" s="2"/>
      <c r="L52" s="2"/>
      <c r="M52" s="2"/>
      <c r="N52" s="2"/>
      <c r="O52" s="2"/>
      <c r="P52" s="8"/>
      <c r="Q52" s="9"/>
      <c r="R52" s="9"/>
    </row>
    <row r="53">
      <c r="A53" s="2" t="str">
        <f t="shared" si="2"/>
        <v>#REF!</v>
      </c>
      <c r="B53" s="2"/>
      <c r="C53" s="2"/>
      <c r="D53" s="2"/>
      <c r="E53" s="6"/>
      <c r="F53" s="2"/>
      <c r="G53" s="2"/>
      <c r="H53" s="2"/>
      <c r="I53" s="2"/>
      <c r="J53" s="2"/>
      <c r="K53" s="2"/>
      <c r="L53" s="2"/>
      <c r="M53" s="2"/>
      <c r="N53" s="2"/>
      <c r="O53" s="2"/>
      <c r="P53" s="8"/>
      <c r="Q53" s="9"/>
      <c r="R53" s="9"/>
    </row>
    <row r="54">
      <c r="A54" s="2" t="str">
        <f t="shared" si="2"/>
        <v>#REF!</v>
      </c>
      <c r="B54" s="2"/>
      <c r="C54" s="2"/>
      <c r="D54" s="2"/>
      <c r="E54" s="6"/>
      <c r="F54" s="2"/>
      <c r="G54" s="2"/>
      <c r="H54" s="2"/>
      <c r="I54" s="2"/>
      <c r="J54" s="2"/>
      <c r="K54" s="2"/>
      <c r="L54" s="2"/>
      <c r="M54" s="2"/>
      <c r="N54" s="2"/>
      <c r="O54" s="2"/>
      <c r="P54" s="8"/>
      <c r="Q54" s="9"/>
      <c r="R54" s="9"/>
    </row>
    <row r="55">
      <c r="A55" s="19" t="s">
        <v>56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>
        <f t="shared" ref="L55:O55" si="3">SUM(L2:L4)</f>
        <v>0</v>
      </c>
      <c r="M55" s="8">
        <f t="shared" si="3"/>
        <v>924.821</v>
      </c>
      <c r="N55" s="8">
        <f t="shared" si="3"/>
        <v>761.912</v>
      </c>
      <c r="O55" s="8">
        <f t="shared" si="3"/>
        <v>113</v>
      </c>
      <c r="P55" s="8">
        <f>AVERAGE(P2:P4)</f>
        <v>0</v>
      </c>
      <c r="Q55" s="8"/>
      <c r="R55" s="8"/>
    </row>
  </sheetData>
  <dataValidations>
    <dataValidation type="list" allowBlank="1" showErrorMessage="1" sqref="J2:J45 J47:J54">
      <formula1>"Tayang,Di jadwalkan,Masih Menunggu Materi,Cancel,Hold"</formula1>
    </dataValidation>
    <dataValidation type="list" allowBlank="1" showErrorMessage="1" sqref="G2:G45 G47:G54">
      <formula1>"Feed,Story,Post,Reels"</formula1>
    </dataValidation>
    <dataValidation type="list" allowBlank="1" showErrorMessage="1" sqref="H2:H45 H47:H54">
      <formula1>"Facebook,Instagram,X,Youtube,Tiktok"</formula1>
    </dataValidation>
    <dataValidation type="list" allowBlank="1" showErrorMessage="1" sqref="I2:I45 I47:I54">
      <formula1>"hariankompas,kompasdata,kompasurbana,kompasmuda"</formula1>
    </dataValidation>
    <dataValidation type="list" allowBlank="1" showErrorMessage="1" sqref="F2:F45 F47:F54">
      <formula1>"ADV,Info,Koko,Sponsored,Kilas"</formula1>
    </dataValidation>
    <dataValidation type="custom" allowBlank="1" showDropDown="1" sqref="E2:E45 E47:E54">
      <formula1>OR(NOT(ISERROR(DATEVALUE(E2))), AND(ISNUMBER(E2), LEFT(CELL("format", E2))="D"))</formula1>
    </dataValidation>
    <dataValidation type="list" allowBlank="1" showErrorMessage="1" sqref="D2:D54">
      <formula1>"Berbayar,Barter,Media Partner,Kompas.com"</formula1>
    </dataValidation>
  </dataValidations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3"/>
    <hyperlink r:id="rId11" ref="K14"/>
    <hyperlink r:id="rId12" ref="K15"/>
    <hyperlink r:id="rId13" ref="K16"/>
    <hyperlink r:id="rId14" ref="K17"/>
    <hyperlink r:id="rId15" ref="K18"/>
    <hyperlink r:id="rId16" ref="K19"/>
    <hyperlink r:id="rId17" ref="K20"/>
    <hyperlink r:id="rId18" ref="K21"/>
    <hyperlink r:id="rId19" ref="K22"/>
    <hyperlink r:id="rId20" ref="K23"/>
    <hyperlink r:id="rId21" ref="K24"/>
    <hyperlink r:id="rId22" ref="K25"/>
    <hyperlink r:id="rId23" ref="K26"/>
    <hyperlink r:id="rId24" ref="K27"/>
    <hyperlink r:id="rId25" ref="K28"/>
    <hyperlink r:id="rId26" ref="K29"/>
    <hyperlink r:id="rId27" ref="K30"/>
    <hyperlink r:id="rId28" ref="K31"/>
    <hyperlink r:id="rId29" ref="K32"/>
    <hyperlink r:id="rId30" ref="K33"/>
    <hyperlink r:id="rId31" ref="K34"/>
    <hyperlink r:id="rId32" ref="K35"/>
    <hyperlink r:id="rId33" ref="K36"/>
    <hyperlink r:id="rId34" ref="K37"/>
    <hyperlink r:id="rId35" ref="K38"/>
    <hyperlink r:id="rId36" ref="K39"/>
    <hyperlink r:id="rId37" ref="K40"/>
    <hyperlink r:id="rId38" ref="K41"/>
    <hyperlink r:id="rId39" ref="K42"/>
    <hyperlink r:id="rId40" ref="K43"/>
    <hyperlink r:id="rId41" ref="K44"/>
    <hyperlink r:id="rId42" ref="K45"/>
  </hyperlinks>
  <drawing r:id="rId4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7" max="7" width="17.63"/>
    <col customWidth="1" min="8" max="8" width="13.25"/>
    <col customWidth="1" min="9" max="9" width="16.88"/>
    <col customWidth="1" min="10" max="10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1.0</v>
      </c>
      <c r="B2" s="2"/>
      <c r="C2" s="4"/>
      <c r="D2" s="2"/>
      <c r="E2" s="6"/>
      <c r="F2" s="2"/>
      <c r="G2" s="2"/>
      <c r="H2" s="2"/>
      <c r="I2" s="2"/>
      <c r="J2" s="2"/>
      <c r="K2" s="7"/>
      <c r="L2" s="2"/>
      <c r="M2" s="2"/>
      <c r="N2" s="2"/>
      <c r="O2" s="2"/>
      <c r="P2" s="8"/>
      <c r="Q2" s="9"/>
    </row>
    <row r="3">
      <c r="A3" s="2">
        <v>2.0</v>
      </c>
      <c r="B3" s="2"/>
      <c r="C3" s="2"/>
      <c r="D3" s="2"/>
      <c r="E3" s="6"/>
      <c r="F3" s="2"/>
      <c r="G3" s="2"/>
      <c r="H3" s="2"/>
      <c r="I3" s="2"/>
      <c r="J3" s="2"/>
      <c r="K3" s="2"/>
      <c r="L3" s="2"/>
      <c r="M3" s="2"/>
      <c r="N3" s="2"/>
      <c r="O3" s="2"/>
      <c r="P3" s="8"/>
      <c r="Q3" s="9"/>
    </row>
    <row r="4">
      <c r="A4" s="2">
        <v>3.0</v>
      </c>
      <c r="B4" s="2"/>
      <c r="C4" s="4"/>
      <c r="D4" s="2"/>
      <c r="E4" s="6"/>
      <c r="F4" s="2"/>
      <c r="G4" s="2"/>
      <c r="H4" s="2"/>
      <c r="I4" s="2"/>
      <c r="J4" s="2"/>
      <c r="K4" s="2"/>
      <c r="L4" s="2"/>
      <c r="M4" s="2"/>
      <c r="N4" s="2"/>
      <c r="O4" s="2"/>
      <c r="P4" s="8"/>
      <c r="Q4" s="9"/>
    </row>
    <row r="5">
      <c r="A5" s="2">
        <v>4.0</v>
      </c>
      <c r="B5" s="2"/>
      <c r="C5" s="2"/>
      <c r="D5" s="2"/>
      <c r="E5" s="6"/>
      <c r="F5" s="2"/>
      <c r="G5" s="2"/>
      <c r="H5" s="2"/>
      <c r="I5" s="2"/>
      <c r="J5" s="2"/>
      <c r="K5" s="2"/>
      <c r="L5" s="2"/>
      <c r="M5" s="2"/>
      <c r="N5" s="2"/>
      <c r="O5" s="2"/>
      <c r="P5" s="8"/>
      <c r="Q5" s="9"/>
    </row>
    <row r="6">
      <c r="A6" s="2">
        <v>5.0</v>
      </c>
      <c r="B6" s="2"/>
      <c r="C6" s="2"/>
      <c r="D6" s="2"/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8"/>
      <c r="Q6" s="9"/>
    </row>
    <row r="7">
      <c r="A7" s="2">
        <v>6.0</v>
      </c>
      <c r="B7" s="2"/>
      <c r="C7" s="16"/>
      <c r="D7" s="2"/>
      <c r="E7" s="6"/>
      <c r="F7" s="2"/>
      <c r="G7" s="2"/>
      <c r="H7" s="2"/>
      <c r="I7" s="2"/>
      <c r="J7" s="2"/>
      <c r="K7" s="2"/>
      <c r="L7" s="2"/>
      <c r="M7" s="2"/>
      <c r="N7" s="2"/>
      <c r="O7" s="2"/>
      <c r="P7" s="8"/>
      <c r="Q7" s="9"/>
    </row>
    <row r="8">
      <c r="A8" s="2">
        <v>7.0</v>
      </c>
      <c r="B8" s="2"/>
      <c r="C8" s="2"/>
      <c r="D8" s="2"/>
      <c r="E8" s="6"/>
      <c r="F8" s="2"/>
      <c r="G8" s="2"/>
      <c r="H8" s="2"/>
      <c r="I8" s="2"/>
      <c r="J8" s="2"/>
      <c r="K8" s="2"/>
      <c r="L8" s="2"/>
      <c r="M8" s="2"/>
      <c r="N8" s="2"/>
      <c r="O8" s="2"/>
      <c r="P8" s="8"/>
      <c r="Q8" s="9"/>
    </row>
    <row r="9">
      <c r="A9" s="2">
        <v>8.0</v>
      </c>
      <c r="B9" s="2"/>
      <c r="C9" s="2"/>
      <c r="D9" s="2"/>
      <c r="E9" s="6"/>
      <c r="F9" s="2"/>
      <c r="G9" s="2"/>
      <c r="H9" s="2"/>
      <c r="I9" s="2"/>
      <c r="J9" s="2"/>
      <c r="K9" s="2"/>
      <c r="L9" s="2"/>
      <c r="M9" s="2"/>
      <c r="N9" s="2"/>
      <c r="O9" s="2"/>
      <c r="P9" s="8"/>
      <c r="Q9" s="9"/>
    </row>
    <row r="10">
      <c r="A10" s="2">
        <v>9.0</v>
      </c>
      <c r="B10" s="2"/>
      <c r="C10" s="2"/>
      <c r="D10" s="2"/>
      <c r="E10" s="6"/>
      <c r="F10" s="2"/>
      <c r="G10" s="2"/>
      <c r="H10" s="2"/>
      <c r="I10" s="2"/>
      <c r="J10" s="2"/>
      <c r="K10" s="2"/>
      <c r="L10" s="2"/>
      <c r="M10" s="2"/>
      <c r="N10" s="2"/>
      <c r="O10" s="2"/>
      <c r="P10" s="8"/>
      <c r="Q10" s="9"/>
    </row>
    <row r="11">
      <c r="A11" s="2">
        <v>10.0</v>
      </c>
      <c r="B11" s="2"/>
      <c r="C11" s="2"/>
      <c r="D11" s="2"/>
      <c r="E11" s="6"/>
      <c r="F11" s="2"/>
      <c r="G11" s="2"/>
      <c r="H11" s="2"/>
      <c r="I11" s="2"/>
      <c r="J11" s="2"/>
      <c r="K11" s="2"/>
      <c r="L11" s="2"/>
      <c r="M11" s="2"/>
      <c r="N11" s="2"/>
      <c r="O11" s="2"/>
      <c r="P11" s="8"/>
      <c r="Q11" s="9"/>
    </row>
    <row r="12">
      <c r="A12" s="2">
        <v>11.0</v>
      </c>
      <c r="B12" s="2"/>
      <c r="C12" s="2"/>
      <c r="D12" s="2"/>
      <c r="E12" s="6"/>
      <c r="F12" s="2"/>
      <c r="G12" s="2"/>
      <c r="H12" s="2"/>
      <c r="I12" s="2"/>
      <c r="J12" s="2"/>
      <c r="K12" s="2"/>
      <c r="L12" s="2"/>
      <c r="M12" s="2"/>
      <c r="N12" s="2"/>
      <c r="O12" s="2"/>
      <c r="P12" s="8"/>
      <c r="Q12" s="9"/>
    </row>
    <row r="13">
      <c r="A13" s="2">
        <v>12.0</v>
      </c>
      <c r="B13" s="2"/>
      <c r="C13" s="2"/>
      <c r="D13" s="2"/>
      <c r="E13" s="6"/>
      <c r="F13" s="2"/>
      <c r="G13" s="2"/>
      <c r="H13" s="2"/>
      <c r="I13" s="2"/>
      <c r="J13" s="2"/>
      <c r="K13" s="2"/>
      <c r="L13" s="2"/>
      <c r="M13" s="2"/>
      <c r="N13" s="2"/>
      <c r="O13" s="2"/>
      <c r="P13" s="8"/>
      <c r="Q13" s="9"/>
    </row>
    <row r="14">
      <c r="A14" s="2">
        <v>13.0</v>
      </c>
      <c r="B14" s="2"/>
      <c r="C14" s="2"/>
      <c r="D14" s="2"/>
      <c r="E14" s="6"/>
      <c r="F14" s="2"/>
      <c r="G14" s="2"/>
      <c r="H14" s="2"/>
      <c r="I14" s="2"/>
      <c r="J14" s="2"/>
      <c r="K14" s="2"/>
      <c r="L14" s="2"/>
      <c r="M14" s="2"/>
      <c r="N14" s="2"/>
      <c r="O14" s="2"/>
      <c r="P14" s="8"/>
      <c r="Q14" s="9"/>
    </row>
    <row r="15">
      <c r="A15" s="2">
        <v>14.0</v>
      </c>
      <c r="B15" s="2"/>
      <c r="C15" s="2"/>
      <c r="D15" s="2"/>
      <c r="E15" s="6"/>
      <c r="F15" s="2"/>
      <c r="G15" s="2"/>
      <c r="H15" s="2"/>
      <c r="I15" s="2"/>
      <c r="J15" s="2"/>
      <c r="K15" s="2"/>
      <c r="L15" s="2"/>
      <c r="M15" s="2"/>
      <c r="N15" s="2"/>
      <c r="O15" s="2"/>
      <c r="P15" s="8"/>
      <c r="Q15" s="9"/>
    </row>
    <row r="16">
      <c r="A16" s="2">
        <v>15.0</v>
      </c>
      <c r="B16" s="2"/>
      <c r="C16" s="2"/>
      <c r="D16" s="2"/>
      <c r="E16" s="6"/>
      <c r="F16" s="2"/>
      <c r="G16" s="2"/>
      <c r="H16" s="2"/>
      <c r="I16" s="2"/>
      <c r="J16" s="2"/>
      <c r="K16" s="2"/>
      <c r="L16" s="2"/>
      <c r="M16" s="2"/>
      <c r="N16" s="2"/>
      <c r="O16" s="2"/>
      <c r="P16" s="8"/>
      <c r="Q16" s="9"/>
    </row>
    <row r="17">
      <c r="A17" s="2">
        <v>16.0</v>
      </c>
      <c r="B17" s="2"/>
      <c r="C17" s="2"/>
      <c r="D17" s="2"/>
      <c r="E17" s="6"/>
      <c r="F17" s="2"/>
      <c r="G17" s="2"/>
      <c r="H17" s="2"/>
      <c r="I17" s="2"/>
      <c r="J17" s="2"/>
      <c r="K17" s="2"/>
      <c r="L17" s="2"/>
      <c r="M17" s="2"/>
      <c r="N17" s="2"/>
      <c r="O17" s="2"/>
      <c r="P17" s="8"/>
      <c r="Q17" s="9"/>
    </row>
    <row r="18">
      <c r="A18" s="2">
        <v>17.0</v>
      </c>
      <c r="B18" s="2"/>
      <c r="C18" s="2"/>
      <c r="D18" s="2"/>
      <c r="E18" s="6"/>
      <c r="F18" s="2"/>
      <c r="G18" s="2"/>
      <c r="H18" s="2"/>
      <c r="I18" s="2"/>
      <c r="J18" s="2"/>
      <c r="K18" s="2"/>
      <c r="L18" s="2"/>
      <c r="M18" s="2"/>
      <c r="N18" s="2"/>
      <c r="O18" s="2"/>
      <c r="P18" s="8"/>
      <c r="Q18" s="9"/>
    </row>
    <row r="19">
      <c r="A19" s="2">
        <v>18.0</v>
      </c>
      <c r="B19" s="2"/>
      <c r="C19" s="2"/>
      <c r="D19" s="2"/>
      <c r="E19" s="6"/>
      <c r="F19" s="2"/>
      <c r="G19" s="2"/>
      <c r="H19" s="2"/>
      <c r="I19" s="2"/>
      <c r="J19" s="2"/>
      <c r="K19" s="2"/>
      <c r="L19" s="2"/>
      <c r="M19" s="2"/>
      <c r="N19" s="2"/>
      <c r="O19" s="2"/>
      <c r="P19" s="8"/>
      <c r="Q19" s="9"/>
    </row>
    <row r="20">
      <c r="A20" s="2">
        <v>19.0</v>
      </c>
      <c r="B20" s="2"/>
      <c r="C20" s="2"/>
      <c r="D20" s="2"/>
      <c r="E20" s="6"/>
      <c r="F20" s="2"/>
      <c r="G20" s="2"/>
      <c r="H20" s="2"/>
      <c r="I20" s="2"/>
      <c r="J20" s="2"/>
      <c r="K20" s="2"/>
      <c r="L20" s="2"/>
      <c r="M20" s="2"/>
      <c r="N20" s="2"/>
      <c r="O20" s="2"/>
      <c r="P20" s="8"/>
      <c r="Q20" s="9"/>
    </row>
    <row r="21">
      <c r="A21" s="2">
        <v>20.0</v>
      </c>
      <c r="B21" s="2"/>
      <c r="C21" s="2"/>
      <c r="D21" s="2"/>
      <c r="E21" s="6"/>
      <c r="F21" s="2"/>
      <c r="G21" s="2"/>
      <c r="H21" s="2"/>
      <c r="I21" s="2"/>
      <c r="J21" s="2"/>
      <c r="K21" s="2"/>
      <c r="L21" s="2"/>
      <c r="M21" s="2"/>
      <c r="N21" s="2"/>
      <c r="O21" s="2"/>
      <c r="P21" s="8"/>
      <c r="Q21" s="9"/>
    </row>
    <row r="22">
      <c r="A22" s="19" t="s">
        <v>56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>
        <f t="shared" ref="L22:O22" si="1">SUM(L2:L4)</f>
        <v>0</v>
      </c>
      <c r="M22" s="8">
        <f t="shared" si="1"/>
        <v>0</v>
      </c>
      <c r="N22" s="8">
        <f t="shared" si="1"/>
        <v>0</v>
      </c>
      <c r="O22" s="8">
        <f t="shared" si="1"/>
        <v>0</v>
      </c>
      <c r="P22" s="8" t="str">
        <f>AVERAGE(P2:P4)</f>
        <v>#DIV/0!</v>
      </c>
      <c r="Q22" s="8"/>
    </row>
  </sheetData>
  <dataValidations>
    <dataValidation type="list" allowBlank="1" showErrorMessage="1" sqref="G2:G21">
      <formula1>"Feed,Instagram Story,Post,Reels"</formula1>
    </dataValidation>
    <dataValidation type="list" allowBlank="1" showErrorMessage="1" sqref="J2:J21">
      <formula1>"Tayang,Di jadwalkan,Masih Menunggu Materi,Cancel,Hold"</formula1>
    </dataValidation>
    <dataValidation type="list" allowBlank="1" showErrorMessage="1" sqref="D2:D21">
      <formula1>"Berbayar,Barter,Media Partner"</formula1>
    </dataValidation>
    <dataValidation type="list" allowBlank="1" showErrorMessage="1" sqref="H2:H21">
      <formula1>"Facebook,Instagram,X,Youtube,Tiktok"</formula1>
    </dataValidation>
    <dataValidation type="list" allowBlank="1" showErrorMessage="1" sqref="I2:I21">
      <formula1>"hariankompas,kompasdata,kompasurbana,kompasmuda"</formula1>
    </dataValidation>
    <dataValidation type="list" allowBlank="1" showErrorMessage="1" sqref="F2:F21">
      <formula1>"ADV,Info,Untuk Indonesia"</formula1>
    </dataValidation>
    <dataValidation type="custom" allowBlank="1" showDropDown="1" sqref="E2:E21">
      <formula1>OR(NOT(ISERROR(DATEVALUE(E2))), AND(ISNUMBER(E2), LEFT(CELL("format", E2))="D"))</formula1>
    </dataValidation>
  </dataValidations>
  <drawing r:id="rId1"/>
</worksheet>
</file>